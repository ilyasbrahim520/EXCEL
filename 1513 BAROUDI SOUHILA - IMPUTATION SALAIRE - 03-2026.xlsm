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onv9771\Desktop\"/>
    </mc:Choice>
  </mc:AlternateContent>
  <xr:revisionPtr revIDLastSave="0" documentId="13_ncr:1_{F560C526-32F3-4A35-980A-5930B08404F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terface" sheetId="7" r:id="rId1"/>
    <sheet name="DETAIL" sheetId="5" r:id="rId2"/>
    <sheet name="details" sheetId="8" r:id="rId3"/>
    <sheet name="1513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0" i="8" l="1"/>
  <c r="F11" i="8"/>
  <c r="F12" i="8"/>
  <c r="F13" i="8"/>
  <c r="F14" i="8"/>
  <c r="F15" i="8"/>
  <c r="F16" i="8"/>
  <c r="F17" i="8"/>
  <c r="F9" i="8"/>
  <c r="F8" i="8"/>
  <c r="D18" i="8"/>
  <c r="D19" i="8" s="1"/>
  <c r="E18" i="8"/>
  <c r="E19" i="8" s="1"/>
  <c r="E21" i="6"/>
  <c r="E22" i="6"/>
  <c r="E23" i="6"/>
  <c r="E24" i="6"/>
  <c r="E25" i="6"/>
  <c r="E26" i="6"/>
  <c r="E27" i="6"/>
  <c r="E28" i="6"/>
  <c r="E29" i="6"/>
  <c r="B21" i="6"/>
  <c r="B22" i="6"/>
  <c r="B23" i="6"/>
  <c r="B24" i="6"/>
  <c r="B25" i="6"/>
  <c r="B26" i="6"/>
  <c r="B27" i="6"/>
  <c r="B28" i="6"/>
  <c r="B29" i="6"/>
  <c r="B20" i="6"/>
  <c r="C21" i="6"/>
  <c r="C22" i="6"/>
  <c r="C23" i="6"/>
  <c r="C24" i="6"/>
  <c r="C25" i="6"/>
  <c r="C26" i="6"/>
  <c r="C27" i="6"/>
  <c r="C28" i="6"/>
  <c r="C29" i="6"/>
  <c r="C20" i="6"/>
  <c r="D28" i="5"/>
  <c r="E27" i="5"/>
  <c r="E26" i="5"/>
  <c r="E25" i="5"/>
  <c r="E24" i="5"/>
  <c r="E23" i="5"/>
  <c r="E22" i="5"/>
  <c r="E21" i="5"/>
  <c r="E20" i="5"/>
  <c r="E19" i="5"/>
  <c r="E18" i="5"/>
  <c r="E20" i="6" s="1"/>
  <c r="E35" i="6" s="1"/>
  <c r="E28" i="5"/>
  <c r="E23" i="8" l="1"/>
  <c r="F23" i="8" s="1"/>
  <c r="E22" i="8"/>
  <c r="E21" i="8"/>
  <c r="E20" i="8"/>
  <c r="E24" i="8"/>
  <c r="D22" i="8"/>
  <c r="D23" i="8"/>
  <c r="F19" i="8"/>
  <c r="F22" i="8"/>
  <c r="D20" i="8"/>
  <c r="D21" i="8"/>
  <c r="D29" i="5"/>
  <c r="F21" i="8"/>
  <c r="D24" i="8"/>
  <c r="F24" i="8" s="1"/>
  <c r="F18" i="8"/>
  <c r="D25" i="8"/>
  <c r="D26" i="8" s="1"/>
  <c r="F20" i="8"/>
  <c r="E25" i="8" l="1"/>
  <c r="E26" i="8" s="1"/>
  <c r="D31" i="6"/>
  <c r="D32" i="6"/>
  <c r="D33" i="6"/>
  <c r="D34" i="6"/>
  <c r="D30" i="6"/>
  <c r="E29" i="5"/>
  <c r="F25" i="8"/>
  <c r="F26" i="8"/>
  <c r="D32" i="5" l="1"/>
  <c r="E32" i="5" s="1"/>
  <c r="F32" i="6" s="1"/>
  <c r="D34" i="5"/>
  <c r="E34" i="5" s="1"/>
  <c r="F34" i="6" s="1"/>
  <c r="D31" i="5"/>
  <c r="E31" i="5" s="1"/>
  <c r="F31" i="6" s="1"/>
  <c r="D33" i="5"/>
  <c r="E33" i="5" s="1"/>
  <c r="F33" i="6" s="1"/>
  <c r="D30" i="5"/>
  <c r="E30" i="5" l="1"/>
  <c r="D35" i="5"/>
  <c r="D36" i="5" s="1"/>
  <c r="E35" i="5" l="1"/>
  <c r="E36" i="5" s="1"/>
  <c r="F30" i="6"/>
  <c r="F35" i="6" s="1"/>
  <c r="G36" i="6" s="1"/>
</calcChain>
</file>

<file path=xl/sharedStrings.xml><?xml version="1.0" encoding="utf-8"?>
<sst xmlns="http://schemas.openxmlformats.org/spreadsheetml/2006/main" count="94" uniqueCount="54">
  <si>
    <t>RUB</t>
  </si>
  <si>
    <t>LIBELLES</t>
  </si>
  <si>
    <t>TOTAUX</t>
  </si>
  <si>
    <t>SALAIRE DE BASE</t>
  </si>
  <si>
    <t>S/TOTAL</t>
  </si>
  <si>
    <t>BASE</t>
  </si>
  <si>
    <t>ASS/SOCIAL EMPLOYEUR</t>
  </si>
  <si>
    <t>ACC. TRAV. EMPLOYEUR</t>
  </si>
  <si>
    <t>RETRAITE EMPLOYEUR</t>
  </si>
  <si>
    <t>RETRAITE ANTICIPEE EMPLOYEUR</t>
  </si>
  <si>
    <t>ASSURANCE CHOMAGE EMPLOYEUR</t>
  </si>
  <si>
    <t>MONTANT A IMPUTER</t>
  </si>
  <si>
    <t>MATRICULE</t>
  </si>
  <si>
    <t xml:space="preserve">FONCTION </t>
  </si>
  <si>
    <t>PERIODE</t>
  </si>
  <si>
    <t>RUB.</t>
  </si>
  <si>
    <t xml:space="preserve"> LIBELLES</t>
  </si>
  <si>
    <t>N/BASE</t>
  </si>
  <si>
    <t>GAINS.IMP</t>
  </si>
  <si>
    <t>OBSERVATIONS</t>
  </si>
  <si>
    <t xml:space="preserve"> </t>
  </si>
  <si>
    <t>TOTAL</t>
  </si>
  <si>
    <t xml:space="preserve">MONTANT A IMPUTER </t>
  </si>
  <si>
    <t>Complexe GL3Z</t>
  </si>
  <si>
    <t>TAUX</t>
  </si>
  <si>
    <t>Activité Liquéfaction &amp; Séparation</t>
  </si>
  <si>
    <t xml:space="preserve">      Activité Liquéfaction &amp; Séparation</t>
  </si>
  <si>
    <t xml:space="preserve">      Division GNL &amp; GPL </t>
  </si>
  <si>
    <t xml:space="preserve">     Complexe GL3Z</t>
  </si>
  <si>
    <t xml:space="preserve">     Département ADM/SOC</t>
  </si>
  <si>
    <t xml:space="preserve">LE CHEF DE DPT ADM/SOC </t>
  </si>
  <si>
    <t>Division GNL &amp; GPL</t>
  </si>
  <si>
    <t>1100</t>
  </si>
  <si>
    <t>1159</t>
  </si>
  <si>
    <t>INDE.ZONE INDU. NORD</t>
  </si>
  <si>
    <t>INDEMNITE ANCIENNETE GRPE</t>
  </si>
  <si>
    <t>BAROUDI SOUHILA</t>
  </si>
  <si>
    <t>43341M/63001513</t>
  </si>
  <si>
    <t>INDEMNITE DE NUISANCES</t>
  </si>
  <si>
    <t>CADRE ETUDES TECH N2 (MAINT)</t>
  </si>
  <si>
    <t>82E3</t>
  </si>
  <si>
    <t>IZCV H MISSION                                        01/26</t>
  </si>
  <si>
    <t>IZCV H MISSION                                        02/26</t>
  </si>
  <si>
    <t>HRE SUPP. JR OUVRABLE 50%               02/26</t>
  </si>
  <si>
    <t>HRE SUPP. JR OUVRABLE 50%               01/26</t>
  </si>
  <si>
    <t>01/03/2026 AU 31/03/2026</t>
  </si>
  <si>
    <t>RAP INDE.ZONE INDU. NORD                  01/26</t>
  </si>
  <si>
    <t>RAP INDE.ZONE INDU. NORD                  02/26</t>
  </si>
  <si>
    <t>NOM ET PRENOM</t>
  </si>
  <si>
    <t>CHARGE
EMPLOYEUR</t>
  </si>
  <si>
    <t>Agent détaché avec solde auprès du projet SH-ONE à compter du 01/01/2024</t>
  </si>
  <si>
    <t>BETHIOUA LE  : 25/05/2026</t>
  </si>
  <si>
    <t>ARRETE LE PRESENT ETAT A LA SOMME DE : (438084.58 DA) QUATRE CENT TRENTE HUIT MILLE QUATRE-VINGT QUATRE DINARS ET CINQUANTE HUIT CENTIMES.</t>
  </si>
  <si>
    <t xml:space="preserve">     Activité Liquéfaction &amp; Séparation
     Division GNL &amp; GPL
     Complexe GL3Z
     Département ADM/SOC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</si>
</sst>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[$-40C]mmm\-yy;@"/>
    <numFmt numFmtId="166" formatCode="#,##0.00\ _€"/>
    <numFmt numFmtId="167" formatCode="#,##0.00_ ;\-#,##0.00\ "/>
  </numFmts>
  <fonts count="1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125">
    <xf numFmtId="0" fontId="0" fillId="0" borderId="0" xfId="0"/>
    <xf numFmtId="0" fontId="6" fillId="0" borderId="0" xfId="0" applyFont="1"/>
    <xf numFmtId="164" fontId="6" fillId="0" borderId="0" xfId="1" applyFont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166" fontId="2" fillId="0" borderId="2" xfId="0" applyNumberFormat="1" applyFont="1" applyBorder="1" applyAlignment="1">
      <alignment horizontal="center" vertical="center"/>
    </xf>
    <xf numFmtId="166" fontId="2" fillId="0" borderId="2" xfId="1" applyNumberFormat="1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4" fontId="2" fillId="0" borderId="3" xfId="0" applyNumberFormat="1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7" fillId="0" borderId="0" xfId="0" applyNumberFormat="1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/>
    <xf numFmtId="164" fontId="2" fillId="0" borderId="2" xfId="1" applyFont="1" applyBorder="1" applyAlignment="1">
      <alignment vertical="center"/>
    </xf>
    <xf numFmtId="0" fontId="4" fillId="0" borderId="0" xfId="0" applyFont="1"/>
    <xf numFmtId="4" fontId="6" fillId="0" borderId="0" xfId="0" applyNumberFormat="1" applyFont="1"/>
    <xf numFmtId="167" fontId="6" fillId="0" borderId="0" xfId="0" applyNumberFormat="1" applyFont="1"/>
    <xf numFmtId="167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top" wrapText="1"/>
    </xf>
    <xf numFmtId="164" fontId="6" fillId="0" borderId="2" xfId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164" fontId="6" fillId="0" borderId="2" xfId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64" fontId="8" fillId="0" borderId="4" xfId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8" fillId="2" borderId="4" xfId="1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0" fontId="9" fillId="0" borderId="0" xfId="0" applyFont="1"/>
    <xf numFmtId="165" fontId="9" fillId="0" borderId="0" xfId="0" applyNumberFormat="1" applyFont="1" applyAlignment="1">
      <alignment horizontal="left"/>
    </xf>
    <xf numFmtId="164" fontId="7" fillId="0" borderId="0" xfId="1" applyFont="1"/>
    <xf numFmtId="167" fontId="2" fillId="0" borderId="0" xfId="0" applyNumberFormat="1" applyFont="1"/>
    <xf numFmtId="39" fontId="2" fillId="0" borderId="2" xfId="1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165" fontId="9" fillId="0" borderId="8" xfId="0" applyNumberFormat="1" applyFont="1" applyBorder="1" applyAlignment="1">
      <alignment horizontal="left" vertical="center"/>
    </xf>
    <xf numFmtId="165" fontId="9" fillId="0" borderId="7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4" fontId="2" fillId="0" borderId="3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7" fontId="8" fillId="0" borderId="1" xfId="0" applyNumberFormat="1" applyFont="1" applyBorder="1" applyAlignment="1">
      <alignment horizontal="center" vertical="center"/>
    </xf>
    <xf numFmtId="0" fontId="9" fillId="0" borderId="16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0" fillId="0" borderId="0" xfId="0" applyFill="1"/>
    <xf numFmtId="17" fontId="8" fillId="0" borderId="4" xfId="0" applyNumberFormat="1" applyFont="1" applyFill="1" applyBorder="1" applyAlignment="1">
      <alignment horizontal="center" vertical="center"/>
    </xf>
    <xf numFmtId="0" fontId="8" fillId="0" borderId="4" xfId="0" applyNumberFormat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left" vertical="center"/>
    </xf>
    <xf numFmtId="0" fontId="1" fillId="0" borderId="2" xfId="0" applyNumberFormat="1" applyFont="1" applyFill="1" applyBorder="1" applyAlignment="1">
      <alignment horizontal="left" vertical="center"/>
    </xf>
    <xf numFmtId="0" fontId="1" fillId="0" borderId="3" xfId="0" applyNumberFormat="1" applyFont="1" applyFill="1" applyBorder="1" applyAlignment="1">
      <alignment horizontal="left" vertical="center"/>
    </xf>
    <xf numFmtId="0" fontId="6" fillId="0" borderId="2" xfId="0" applyNumberFormat="1" applyFont="1" applyFill="1" applyBorder="1" applyAlignment="1">
      <alignment horizontal="center" vertical="center"/>
    </xf>
    <xf numFmtId="0" fontId="6" fillId="0" borderId="3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left" vertical="center"/>
    </xf>
    <xf numFmtId="0" fontId="6" fillId="0" borderId="3" xfId="0" applyNumberFormat="1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 wrapText="1"/>
    </xf>
    <xf numFmtId="0" fontId="6" fillId="0" borderId="2" xfId="0" applyNumberFormat="1" applyFont="1" applyFill="1" applyBorder="1" applyAlignment="1">
      <alignment horizontal="left" vertical="center"/>
    </xf>
    <xf numFmtId="0" fontId="8" fillId="0" borderId="2" xfId="0" applyNumberFormat="1" applyFont="1" applyFill="1" applyBorder="1" applyAlignment="1">
      <alignment vertical="center"/>
    </xf>
    <xf numFmtId="0" fontId="8" fillId="0" borderId="1" xfId="0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vertical="center" wrapText="1"/>
    </xf>
    <xf numFmtId="164" fontId="6" fillId="0" borderId="1" xfId="1" applyNumberFormat="1" applyFont="1" applyFill="1" applyBorder="1" applyAlignment="1">
      <alignment horizontal="center" vertical="center"/>
    </xf>
    <xf numFmtId="164" fontId="6" fillId="0" borderId="2" xfId="1" applyNumberFormat="1" applyFont="1" applyFill="1" applyBorder="1" applyAlignment="1">
      <alignment horizontal="center" vertical="center"/>
    </xf>
    <xf numFmtId="164" fontId="6" fillId="0" borderId="3" xfId="1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vertical="center"/>
    </xf>
    <xf numFmtId="164" fontId="8" fillId="3" borderId="4" xfId="1" applyNumberFormat="1" applyFont="1" applyFill="1" applyBorder="1" applyAlignment="1">
      <alignment horizontal="center" vertical="center"/>
    </xf>
    <xf numFmtId="0" fontId="8" fillId="4" borderId="4" xfId="0" applyNumberFormat="1" applyFont="1" applyFill="1" applyBorder="1" applyAlignment="1">
      <alignment horizontal="center" vertical="center"/>
    </xf>
    <xf numFmtId="0" fontId="8" fillId="4" borderId="4" xfId="0" applyNumberFormat="1" applyFont="1" applyFill="1" applyBorder="1" applyAlignment="1">
      <alignment vertical="center"/>
    </xf>
    <xf numFmtId="164" fontId="8" fillId="4" borderId="4" xfId="1" applyNumberFormat="1" applyFont="1" applyFill="1" applyBorder="1" applyAlignment="1">
      <alignment horizontal="center" vertical="center"/>
    </xf>
    <xf numFmtId="0" fontId="8" fillId="5" borderId="4" xfId="0" applyNumberFormat="1" applyFont="1" applyFill="1" applyBorder="1" applyAlignment="1">
      <alignment horizontal="center" vertical="center"/>
    </xf>
    <xf numFmtId="164" fontId="8" fillId="5" borderId="4" xfId="0" applyNumberFormat="1" applyFont="1" applyFill="1" applyBorder="1" applyAlignment="1">
      <alignment horizontal="center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1</xdr:col>
      <xdr:colOff>723900</xdr:colOff>
      <xdr:row>8</xdr:row>
      <xdr:rowOff>47625</xdr:rowOff>
    </xdr:to>
    <xdr:pic>
      <xdr:nvPicPr>
        <xdr:cNvPr id="7183" name="Image 1">
          <a:extLst>
            <a:ext uri="{FF2B5EF4-FFF2-40B4-BE49-F238E27FC236}">
              <a16:creationId xmlns:a16="http://schemas.microsoft.com/office/drawing/2014/main" id="{C271AF5C-BAAA-45CA-A863-619AB0CF3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12382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114300</xdr:rowOff>
    </xdr:from>
    <xdr:to>
      <xdr:col>1</xdr:col>
      <xdr:colOff>267913</xdr:colOff>
      <xdr:row>2</xdr:row>
      <xdr:rowOff>390244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9C0108D1-B96B-4915-854F-6159EEE3A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14300"/>
          <a:ext cx="810838" cy="1152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2836545</xdr:colOff>
      <xdr:row>1</xdr:row>
      <xdr:rowOff>49530</xdr:rowOff>
    </xdr:from>
    <xdr:to>
      <xdr:col>6</xdr:col>
      <xdr:colOff>2524125</xdr:colOff>
      <xdr:row>7</xdr:row>
      <xdr:rowOff>87630</xdr:rowOff>
    </xdr:to>
    <xdr:sp macro="" textlink="">
      <xdr:nvSpPr>
        <xdr:cNvPr id="2" name="Texte 3">
          <a:extLst>
            <a:ext uri="{FF2B5EF4-FFF2-40B4-BE49-F238E27FC236}">
              <a16:creationId xmlns:a16="http://schemas.microsoft.com/office/drawing/2014/main" id="{EE6FCB27-AA80-450E-B474-156904D3D154}"/>
            </a:ext>
          </a:extLst>
        </xdr:cNvPr>
        <xdr:cNvSpPr>
          <a:spLocks noChangeArrowheads="1"/>
        </xdr:cNvSpPr>
      </xdr:nvSpPr>
      <xdr:spPr bwMode="auto">
        <a:xfrm>
          <a:off x="4055745" y="224790"/>
          <a:ext cx="7101840" cy="113538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45720" tIns="36576" rIns="45720" bIns="36576" anchor="ctr" upright="1"/>
        <a:lstStyle/>
        <a:p>
          <a:pPr algn="ctr" rtl="0"/>
          <a:r>
            <a:rPr lang="fr-FR" sz="2800" b="1" i="0" baseline="0">
              <a:effectLst/>
              <a:latin typeface="+mn-lt"/>
              <a:ea typeface="+mn-ea"/>
              <a:cs typeface="+mn-cs"/>
            </a:rPr>
            <a:t>IMPUTATION DE SALAIRE </a:t>
          </a:r>
        </a:p>
        <a:p>
          <a:pPr algn="ctr" rtl="0"/>
          <a:r>
            <a:rPr lang="fr-FR" sz="2000" b="1" i="0" baseline="0">
              <a:effectLst/>
              <a:latin typeface="+mn-lt"/>
              <a:ea typeface="+mn-ea"/>
              <a:cs typeface="+mn-cs"/>
            </a:rPr>
            <a:t>(DU 01/03/2026 AU 31/03/2026) </a:t>
          </a:r>
          <a:endParaRPr lang="fr-FR" sz="3600">
            <a:effectLst/>
          </a:endParaRPr>
        </a:p>
      </xdr:txBody>
    </xdr:sp>
    <xdr:clientData/>
  </xdr:twoCellAnchor>
  <xdr:twoCellAnchor>
    <xdr:from>
      <xdr:col>0</xdr:col>
      <xdr:colOff>371475</xdr:colOff>
      <xdr:row>0</xdr:row>
      <xdr:rowOff>0</xdr:rowOff>
    </xdr:from>
    <xdr:to>
      <xdr:col>2</xdr:col>
      <xdr:colOff>57150</xdr:colOff>
      <xdr:row>5</xdr:row>
      <xdr:rowOff>9525</xdr:rowOff>
    </xdr:to>
    <xdr:pic>
      <xdr:nvPicPr>
        <xdr:cNvPr id="8218" name="Image 1">
          <a:extLst>
            <a:ext uri="{FF2B5EF4-FFF2-40B4-BE49-F238E27FC236}">
              <a16:creationId xmlns:a16="http://schemas.microsoft.com/office/drawing/2014/main" id="{07775539-38FF-48A6-8A93-6A4EF844C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0"/>
          <a:ext cx="790575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65096-B7E1-437A-A9BF-AA905DB3A357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8:F41"/>
  <sheetViews>
    <sheetView topLeftCell="A16" zoomScaleNormal="100" workbookViewId="0">
      <selection activeCell="E19" sqref="E19"/>
    </sheetView>
  </sheetViews>
  <sheetFormatPr baseColWidth="10" defaultColWidth="11.7109375" defaultRowHeight="14.25" x14ac:dyDescent="0.2"/>
  <cols>
    <col min="1" max="1" width="10" style="1" bestFit="1" customWidth="1"/>
    <col min="2" max="2" width="45.140625" style="1" bestFit="1" customWidth="1"/>
    <col min="3" max="3" width="6.42578125" style="3" bestFit="1" customWidth="1"/>
    <col min="4" max="4" width="14.140625" style="1" bestFit="1" customWidth="1"/>
    <col min="5" max="5" width="30.42578125" style="1" customWidth="1"/>
    <col min="6" max="6" width="14.42578125" style="1" bestFit="1" customWidth="1"/>
    <col min="7" max="16384" width="11.7109375" style="1"/>
  </cols>
  <sheetData>
    <row r="8" spans="1:5" ht="15" thickBot="1" x14ac:dyDescent="0.25"/>
    <row r="9" spans="1:5" ht="17.25" customHeight="1" x14ac:dyDescent="0.2">
      <c r="C9" s="80"/>
      <c r="D9" s="81"/>
      <c r="E9" s="82"/>
    </row>
    <row r="10" spans="1:5" ht="17.25" customHeight="1" x14ac:dyDescent="0.25">
      <c r="A10" s="25" t="s">
        <v>26</v>
      </c>
      <c r="C10" s="83"/>
      <c r="D10" s="84"/>
      <c r="E10" s="85"/>
    </row>
    <row r="11" spans="1:5" ht="17.25" customHeight="1" x14ac:dyDescent="0.25">
      <c r="A11" s="25" t="s">
        <v>27</v>
      </c>
      <c r="C11" s="83"/>
      <c r="D11" s="84"/>
      <c r="E11" s="85"/>
    </row>
    <row r="12" spans="1:5" ht="17.25" customHeight="1" thickBot="1" x14ac:dyDescent="0.3">
      <c r="A12" s="25" t="s">
        <v>28</v>
      </c>
      <c r="C12" s="86"/>
      <c r="D12" s="87"/>
      <c r="E12" s="88"/>
    </row>
    <row r="13" spans="1:5" ht="15.75" x14ac:dyDescent="0.25">
      <c r="A13" s="25" t="s">
        <v>29</v>
      </c>
    </row>
    <row r="15" spans="1:5" ht="15" thickBot="1" x14ac:dyDescent="0.25"/>
    <row r="16" spans="1:5" ht="15" customHeight="1" x14ac:dyDescent="0.2">
      <c r="A16" s="89" t="s">
        <v>0</v>
      </c>
      <c r="B16" s="89" t="s">
        <v>1</v>
      </c>
      <c r="C16" s="89" t="s">
        <v>24</v>
      </c>
      <c r="D16" s="92">
        <v>46082</v>
      </c>
      <c r="E16" s="89" t="s">
        <v>2</v>
      </c>
    </row>
    <row r="17" spans="1:6" ht="15.75" customHeight="1" thickBot="1" x14ac:dyDescent="0.25">
      <c r="A17" s="90"/>
      <c r="B17" s="91"/>
      <c r="C17" s="91"/>
      <c r="D17" s="91"/>
      <c r="E17" s="91"/>
    </row>
    <row r="18" spans="1:6" s="39" customFormat="1" ht="40.15" customHeight="1" x14ac:dyDescent="0.25">
      <c r="A18" s="4" t="s">
        <v>32</v>
      </c>
      <c r="B18" s="37" t="s">
        <v>3</v>
      </c>
      <c r="C18" s="5"/>
      <c r="D18" s="38">
        <v>155824.31</v>
      </c>
      <c r="E18" s="34">
        <f>D18</f>
        <v>155824.31</v>
      </c>
    </row>
    <row r="19" spans="1:6" s="39" customFormat="1" ht="40.15" customHeight="1" x14ac:dyDescent="0.25">
      <c r="A19" s="5">
        <v>1116</v>
      </c>
      <c r="B19" s="37" t="s">
        <v>38</v>
      </c>
      <c r="C19" s="5"/>
      <c r="D19" s="38">
        <v>3482.05</v>
      </c>
      <c r="E19" s="34">
        <f t="shared" ref="E19:E27" si="0">D19</f>
        <v>3482.05</v>
      </c>
    </row>
    <row r="20" spans="1:6" s="39" customFormat="1" ht="40.15" customHeight="1" x14ac:dyDescent="0.25">
      <c r="A20" s="5">
        <v>1125</v>
      </c>
      <c r="B20" s="37" t="s">
        <v>44</v>
      </c>
      <c r="C20" s="5"/>
      <c r="D20" s="38">
        <v>43152</v>
      </c>
      <c r="E20" s="34">
        <f t="shared" si="0"/>
        <v>43152</v>
      </c>
    </row>
    <row r="21" spans="1:6" s="39" customFormat="1" ht="40.15" customHeight="1" x14ac:dyDescent="0.25">
      <c r="A21" s="5">
        <v>1125</v>
      </c>
      <c r="B21" s="37" t="s">
        <v>43</v>
      </c>
      <c r="C21" s="5"/>
      <c r="D21" s="38">
        <v>43152</v>
      </c>
      <c r="E21" s="34">
        <f t="shared" si="0"/>
        <v>43152</v>
      </c>
    </row>
    <row r="22" spans="1:6" s="39" customFormat="1" ht="40.15" customHeight="1" x14ac:dyDescent="0.25">
      <c r="A22" s="5" t="s">
        <v>33</v>
      </c>
      <c r="B22" s="37" t="s">
        <v>46</v>
      </c>
      <c r="C22" s="5"/>
      <c r="D22" s="38">
        <v>-2134.65</v>
      </c>
      <c r="E22" s="34">
        <f t="shared" si="0"/>
        <v>-2134.65</v>
      </c>
    </row>
    <row r="23" spans="1:6" s="39" customFormat="1" ht="40.15" customHeight="1" x14ac:dyDescent="0.25">
      <c r="A23" s="5" t="s">
        <v>33</v>
      </c>
      <c r="B23" s="37" t="s">
        <v>47</v>
      </c>
      <c r="C23" s="5"/>
      <c r="D23" s="38">
        <v>-426.93</v>
      </c>
      <c r="E23" s="34">
        <f t="shared" si="0"/>
        <v>-426.93</v>
      </c>
    </row>
    <row r="24" spans="1:6" s="39" customFormat="1" ht="40.15" customHeight="1" x14ac:dyDescent="0.25">
      <c r="A24" s="5" t="s">
        <v>33</v>
      </c>
      <c r="B24" s="37" t="s">
        <v>34</v>
      </c>
      <c r="C24" s="5"/>
      <c r="D24" s="38">
        <v>3130.82</v>
      </c>
      <c r="E24" s="34">
        <f t="shared" si="0"/>
        <v>3130.82</v>
      </c>
    </row>
    <row r="25" spans="1:6" s="39" customFormat="1" ht="40.15" customHeight="1" x14ac:dyDescent="0.25">
      <c r="A25" s="32">
        <v>1176</v>
      </c>
      <c r="B25" s="37" t="s">
        <v>35</v>
      </c>
      <c r="C25" s="5"/>
      <c r="D25" s="38">
        <v>15641.66</v>
      </c>
      <c r="E25" s="34">
        <f t="shared" si="0"/>
        <v>15641.66</v>
      </c>
    </row>
    <row r="26" spans="1:6" s="39" customFormat="1" ht="40.15" customHeight="1" x14ac:dyDescent="0.25">
      <c r="A26" s="5" t="s">
        <v>40</v>
      </c>
      <c r="B26" s="37" t="s">
        <v>41</v>
      </c>
      <c r="C26" s="5"/>
      <c r="D26" s="38">
        <v>76950</v>
      </c>
      <c r="E26" s="34">
        <f t="shared" si="0"/>
        <v>76950</v>
      </c>
    </row>
    <row r="27" spans="1:6" s="39" customFormat="1" ht="40.15" customHeight="1" thickBot="1" x14ac:dyDescent="0.3">
      <c r="A27" s="40" t="s">
        <v>40</v>
      </c>
      <c r="B27" s="37" t="s">
        <v>42</v>
      </c>
      <c r="C27" s="5"/>
      <c r="D27" s="38">
        <v>33858</v>
      </c>
      <c r="E27" s="34">
        <f t="shared" si="0"/>
        <v>33858</v>
      </c>
    </row>
    <row r="28" spans="1:6" s="39" customFormat="1" ht="39" customHeight="1" thickBot="1" x14ac:dyDescent="0.3">
      <c r="A28" s="75" t="s">
        <v>4</v>
      </c>
      <c r="B28" s="76"/>
      <c r="C28" s="35"/>
      <c r="D28" s="41">
        <f>SUM(D18:D27)</f>
        <v>372629.26</v>
      </c>
      <c r="E28" s="41">
        <f>SUM(E18:E27)</f>
        <v>372629.26</v>
      </c>
      <c r="F28" s="42"/>
    </row>
    <row r="29" spans="1:6" s="39" customFormat="1" ht="39" customHeight="1" thickBot="1" x14ac:dyDescent="0.3">
      <c r="A29" s="77" t="s">
        <v>5</v>
      </c>
      <c r="B29" s="78"/>
      <c r="C29" s="36"/>
      <c r="D29" s="43">
        <f>D28-D27-D26</f>
        <v>261821.26</v>
      </c>
      <c r="E29" s="43">
        <f>+D29</f>
        <v>261821.26</v>
      </c>
    </row>
    <row r="30" spans="1:6" s="39" customFormat="1" ht="39" customHeight="1" x14ac:dyDescent="0.25">
      <c r="A30" s="6">
        <v>504</v>
      </c>
      <c r="B30" s="7" t="s">
        <v>6</v>
      </c>
      <c r="C30" s="5">
        <v>11.5</v>
      </c>
      <c r="D30" s="34">
        <f>$E$29*$C30/100</f>
        <v>30109.444900000002</v>
      </c>
      <c r="E30" s="34">
        <f>ROUND(D30, 2)</f>
        <v>30109.439999999999</v>
      </c>
    </row>
    <row r="31" spans="1:6" s="39" customFormat="1" ht="39" customHeight="1" x14ac:dyDescent="0.25">
      <c r="A31" s="6">
        <v>506</v>
      </c>
      <c r="B31" s="7" t="s">
        <v>7</v>
      </c>
      <c r="C31" s="5">
        <v>1.25</v>
      </c>
      <c r="D31" s="34">
        <f>$E$29*$C31/100</f>
        <v>3272.76575</v>
      </c>
      <c r="E31" s="34">
        <f>ROUND(D31, 2)</f>
        <v>3272.77</v>
      </c>
    </row>
    <row r="32" spans="1:6" s="39" customFormat="1" ht="39" customHeight="1" x14ac:dyDescent="0.25">
      <c r="A32" s="6">
        <v>508</v>
      </c>
      <c r="B32" s="7" t="s">
        <v>8</v>
      </c>
      <c r="C32" s="5">
        <v>11</v>
      </c>
      <c r="D32" s="34">
        <f>$E$29*$C32/100</f>
        <v>28800.338600000003</v>
      </c>
      <c r="E32" s="34">
        <f>ROUND(D32, 2)</f>
        <v>28800.34</v>
      </c>
    </row>
    <row r="33" spans="1:5" s="39" customFormat="1" ht="39" customHeight="1" x14ac:dyDescent="0.25">
      <c r="A33" s="6">
        <v>510</v>
      </c>
      <c r="B33" s="7" t="s">
        <v>9</v>
      </c>
      <c r="C33" s="5">
        <v>0.25</v>
      </c>
      <c r="D33" s="34">
        <f>$E$29*$C33/100</f>
        <v>654.55315000000007</v>
      </c>
      <c r="E33" s="34">
        <f>ROUND(D33, 2)</f>
        <v>654.54999999999995</v>
      </c>
    </row>
    <row r="34" spans="1:5" s="39" customFormat="1" ht="39" customHeight="1" thickBot="1" x14ac:dyDescent="0.3">
      <c r="A34" s="6">
        <v>512</v>
      </c>
      <c r="B34" s="7" t="s">
        <v>10</v>
      </c>
      <c r="C34" s="5">
        <v>1</v>
      </c>
      <c r="D34" s="34">
        <f>$E$29*$C34/100</f>
        <v>2618.2126000000003</v>
      </c>
      <c r="E34" s="34">
        <f>ROUND(D34, 2)</f>
        <v>2618.21</v>
      </c>
    </row>
    <row r="35" spans="1:5" s="39" customFormat="1" ht="39" customHeight="1" thickBot="1" x14ac:dyDescent="0.3">
      <c r="A35" s="75" t="s">
        <v>4</v>
      </c>
      <c r="B35" s="79"/>
      <c r="C35" s="76"/>
      <c r="D35" s="41">
        <f>SUM(D30:D34)</f>
        <v>65455.315000000002</v>
      </c>
      <c r="E35" s="41">
        <f>SUM(E30:E34)</f>
        <v>65455.310000000005</v>
      </c>
    </row>
    <row r="36" spans="1:5" s="39" customFormat="1" ht="39" customHeight="1" thickBot="1" x14ac:dyDescent="0.3">
      <c r="A36" s="75" t="s">
        <v>11</v>
      </c>
      <c r="B36" s="79"/>
      <c r="C36" s="76"/>
      <c r="D36" s="44">
        <f>+D28+D35</f>
        <v>438084.57500000001</v>
      </c>
      <c r="E36" s="44">
        <f>E35+E28</f>
        <v>438084.57</v>
      </c>
    </row>
    <row r="39" spans="1:5" ht="18" customHeight="1" x14ac:dyDescent="0.2">
      <c r="B39" s="21" t="s">
        <v>30</v>
      </c>
      <c r="C39" s="22"/>
      <c r="D39" s="23"/>
      <c r="E39" s="21"/>
    </row>
    <row r="40" spans="1:5" ht="15.75" x14ac:dyDescent="0.2">
      <c r="B40" s="21"/>
      <c r="C40" s="22"/>
      <c r="D40" s="23"/>
      <c r="E40" s="21"/>
    </row>
    <row r="41" spans="1:5" ht="15.75" x14ac:dyDescent="0.25">
      <c r="B41" s="16"/>
      <c r="C41" s="25"/>
      <c r="D41" s="23"/>
      <c r="E41" s="16"/>
    </row>
  </sheetData>
  <mergeCells count="10">
    <mergeCell ref="A28:B28"/>
    <mergeCell ref="A29:B29"/>
    <mergeCell ref="A35:C35"/>
    <mergeCell ref="A36:C36"/>
    <mergeCell ref="C9:E12"/>
    <mergeCell ref="A16:A17"/>
    <mergeCell ref="B16:B17"/>
    <mergeCell ref="C16:C17"/>
    <mergeCell ref="D16:D17"/>
    <mergeCell ref="E16:E17"/>
  </mergeCells>
  <pageMargins left="0" right="0" top="0" bottom="0" header="0" footer="0"/>
  <pageSetup paperSize="9" scale="5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F68ED-A6EE-4CC4-8CF1-3A8EE01D1100}">
  <dimension ref="A4:F26"/>
  <sheetViews>
    <sheetView tabSelected="1" topLeftCell="A16" workbookViewId="0">
      <selection activeCell="A7" sqref="A7"/>
    </sheetView>
  </sheetViews>
  <sheetFormatPr baseColWidth="10" defaultRowHeight="35.1" customHeight="1" x14ac:dyDescent="0.25"/>
  <cols>
    <col min="1" max="1" width="10.7109375" style="95" customWidth="1"/>
    <col min="2" max="2" width="46.5703125" style="95" bestFit="1" customWidth="1"/>
    <col min="3" max="3" width="9" style="95" customWidth="1"/>
    <col min="4" max="4" width="14.28515625" style="95" bestFit="1" customWidth="1"/>
    <col min="5" max="6" width="15.85546875" style="95" bestFit="1" customWidth="1"/>
    <col min="7" max="16384" width="11.42578125" style="95"/>
  </cols>
  <sheetData>
    <row r="4" spans="1:6" ht="35.1" customHeight="1" x14ac:dyDescent="0.25">
      <c r="A4" s="93" t="s">
        <v>53</v>
      </c>
      <c r="B4" s="94"/>
      <c r="C4" s="113"/>
      <c r="D4" s="113"/>
      <c r="E4" s="109"/>
    </row>
    <row r="5" spans="1:6" ht="35.1" customHeight="1" x14ac:dyDescent="0.25">
      <c r="A5" s="93"/>
      <c r="B5" s="94"/>
      <c r="C5" s="113"/>
      <c r="D5" s="113"/>
      <c r="E5" s="109"/>
    </row>
    <row r="6" spans="1:6" ht="35.1" customHeight="1" thickBot="1" x14ac:dyDescent="0.3"/>
    <row r="7" spans="1:6" ht="35.1" customHeight="1" thickBot="1" x14ac:dyDescent="0.3">
      <c r="A7" s="97" t="s">
        <v>0</v>
      </c>
      <c r="B7" s="97" t="s">
        <v>1</v>
      </c>
      <c r="C7" s="97" t="s">
        <v>24</v>
      </c>
      <c r="D7" s="96">
        <v>46082</v>
      </c>
      <c r="E7" s="96">
        <v>46113</v>
      </c>
      <c r="F7" s="97" t="s">
        <v>2</v>
      </c>
    </row>
    <row r="8" spans="1:6" ht="35.1" customHeight="1" x14ac:dyDescent="0.25">
      <c r="A8" s="98" t="s">
        <v>32</v>
      </c>
      <c r="B8" s="107" t="s">
        <v>3</v>
      </c>
      <c r="C8" s="112"/>
      <c r="D8" s="114"/>
      <c r="E8" s="114"/>
      <c r="F8" s="114">
        <f>SUM(D8:E8)</f>
        <v>0</v>
      </c>
    </row>
    <row r="9" spans="1:6" ht="35.1" customHeight="1" x14ac:dyDescent="0.25">
      <c r="A9" s="102">
        <v>1116</v>
      </c>
      <c r="B9" s="110" t="s">
        <v>38</v>
      </c>
      <c r="C9" s="111"/>
      <c r="D9" s="115"/>
      <c r="E9" s="115"/>
      <c r="F9" s="115">
        <f>SUM(D9:E9)</f>
        <v>0</v>
      </c>
    </row>
    <row r="10" spans="1:6" ht="35.1" customHeight="1" x14ac:dyDescent="0.25">
      <c r="A10" s="102">
        <v>1125</v>
      </c>
      <c r="B10" s="110" t="s">
        <v>44</v>
      </c>
      <c r="C10" s="111"/>
      <c r="D10" s="115"/>
      <c r="E10" s="115"/>
      <c r="F10" s="115">
        <f t="shared" ref="F10:F16" si="0">SUM(D10:E10)</f>
        <v>0</v>
      </c>
    </row>
    <row r="11" spans="1:6" ht="35.1" customHeight="1" x14ac:dyDescent="0.25">
      <c r="A11" s="102">
        <v>1125</v>
      </c>
      <c r="B11" s="110" t="s">
        <v>43</v>
      </c>
      <c r="C11" s="111"/>
      <c r="D11" s="115"/>
      <c r="E11" s="115"/>
      <c r="F11" s="115">
        <f t="shared" si="0"/>
        <v>0</v>
      </c>
    </row>
    <row r="12" spans="1:6" ht="35.1" customHeight="1" x14ac:dyDescent="0.25">
      <c r="A12" s="102" t="s">
        <v>33</v>
      </c>
      <c r="B12" s="110" t="s">
        <v>46</v>
      </c>
      <c r="C12" s="111"/>
      <c r="D12" s="115"/>
      <c r="E12" s="115"/>
      <c r="F12" s="115">
        <f t="shared" si="0"/>
        <v>0</v>
      </c>
    </row>
    <row r="13" spans="1:6" ht="35.1" customHeight="1" x14ac:dyDescent="0.25">
      <c r="A13" s="102" t="s">
        <v>33</v>
      </c>
      <c r="B13" s="110" t="s">
        <v>47</v>
      </c>
      <c r="C13" s="111"/>
      <c r="D13" s="115"/>
      <c r="E13" s="115"/>
      <c r="F13" s="115">
        <f t="shared" si="0"/>
        <v>0</v>
      </c>
    </row>
    <row r="14" spans="1:6" ht="35.1" customHeight="1" x14ac:dyDescent="0.25">
      <c r="A14" s="102" t="s">
        <v>33</v>
      </c>
      <c r="B14" s="110" t="s">
        <v>34</v>
      </c>
      <c r="C14" s="111"/>
      <c r="D14" s="115"/>
      <c r="E14" s="115"/>
      <c r="F14" s="115">
        <f t="shared" si="0"/>
        <v>0</v>
      </c>
    </row>
    <row r="15" spans="1:6" ht="35.1" customHeight="1" x14ac:dyDescent="0.25">
      <c r="A15" s="102">
        <v>1176</v>
      </c>
      <c r="B15" s="110" t="s">
        <v>35</v>
      </c>
      <c r="C15" s="111"/>
      <c r="D15" s="115"/>
      <c r="E15" s="115"/>
      <c r="F15" s="115">
        <f t="shared" si="0"/>
        <v>0</v>
      </c>
    </row>
    <row r="16" spans="1:6" ht="35.1" customHeight="1" x14ac:dyDescent="0.25">
      <c r="A16" s="102" t="s">
        <v>40</v>
      </c>
      <c r="B16" s="110" t="s">
        <v>41</v>
      </c>
      <c r="C16" s="111"/>
      <c r="D16" s="115"/>
      <c r="E16" s="115"/>
      <c r="F16" s="115">
        <f t="shared" si="0"/>
        <v>0</v>
      </c>
    </row>
    <row r="17" spans="1:6" ht="35.1" customHeight="1" thickBot="1" x14ac:dyDescent="0.3">
      <c r="A17" s="103" t="s">
        <v>40</v>
      </c>
      <c r="B17" s="108" t="s">
        <v>42</v>
      </c>
      <c r="C17" s="111"/>
      <c r="D17" s="116"/>
      <c r="E17" s="116"/>
      <c r="F17" s="116">
        <f>SUM(D17:E17)</f>
        <v>0</v>
      </c>
    </row>
    <row r="18" spans="1:6" ht="35.1" customHeight="1" thickBot="1" x14ac:dyDescent="0.3">
      <c r="A18" s="117" t="s">
        <v>4</v>
      </c>
      <c r="B18" s="117"/>
      <c r="C18" s="118"/>
      <c r="D18" s="119">
        <f>SUM(D8:D17)</f>
        <v>0</v>
      </c>
      <c r="E18" s="119">
        <f>SUM(E8:E17)</f>
        <v>0</v>
      </c>
      <c r="F18" s="119">
        <f>SUM(D18:E18)</f>
        <v>0</v>
      </c>
    </row>
    <row r="19" spans="1:6" ht="35.1" customHeight="1" thickBot="1" x14ac:dyDescent="0.3">
      <c r="A19" s="120" t="s">
        <v>5</v>
      </c>
      <c r="B19" s="120"/>
      <c r="C19" s="121"/>
      <c r="D19" s="122">
        <f>D18-D17-D16</f>
        <v>0</v>
      </c>
      <c r="E19" s="122">
        <f>E18-E17-E16</f>
        <v>0</v>
      </c>
      <c r="F19" s="122">
        <f>SUM(D19:E19)</f>
        <v>0</v>
      </c>
    </row>
    <row r="20" spans="1:6" ht="35.1" customHeight="1" x14ac:dyDescent="0.25">
      <c r="A20" s="104">
        <v>504</v>
      </c>
      <c r="B20" s="99" t="s">
        <v>6</v>
      </c>
      <c r="C20" s="98">
        <v>11.5</v>
      </c>
      <c r="D20" s="114">
        <f>$D$19*$C20/100</f>
        <v>0</v>
      </c>
      <c r="E20" s="114">
        <f>$E$19*$C20/100</f>
        <v>0</v>
      </c>
      <c r="F20" s="114">
        <f>ROUND(SUM(D20:E20),2)</f>
        <v>0</v>
      </c>
    </row>
    <row r="21" spans="1:6" ht="35.1" customHeight="1" x14ac:dyDescent="0.25">
      <c r="A21" s="105">
        <v>506</v>
      </c>
      <c r="B21" s="100" t="s">
        <v>7</v>
      </c>
      <c r="C21" s="102">
        <v>1.25</v>
      </c>
      <c r="D21" s="115">
        <f>$D$19*$C21/100</f>
        <v>0</v>
      </c>
      <c r="E21" s="115">
        <f>$E$19*$C21/100</f>
        <v>0</v>
      </c>
      <c r="F21" s="115">
        <f t="shared" ref="F21:F23" si="1">ROUND(SUM(D21:E21),2)</f>
        <v>0</v>
      </c>
    </row>
    <row r="22" spans="1:6" ht="35.1" customHeight="1" x14ac:dyDescent="0.25">
      <c r="A22" s="105">
        <v>508</v>
      </c>
      <c r="B22" s="100" t="s">
        <v>8</v>
      </c>
      <c r="C22" s="102">
        <v>11</v>
      </c>
      <c r="D22" s="115">
        <f>$D$19*$C22/100</f>
        <v>0</v>
      </c>
      <c r="E22" s="115">
        <f>$E$19*$C22/100</f>
        <v>0</v>
      </c>
      <c r="F22" s="115">
        <f t="shared" si="1"/>
        <v>0</v>
      </c>
    </row>
    <row r="23" spans="1:6" ht="35.1" customHeight="1" x14ac:dyDescent="0.25">
      <c r="A23" s="105">
        <v>510</v>
      </c>
      <c r="B23" s="100" t="s">
        <v>9</v>
      </c>
      <c r="C23" s="102">
        <v>0.25</v>
      </c>
      <c r="D23" s="115">
        <f>$D$19*$C23/100</f>
        <v>0</v>
      </c>
      <c r="E23" s="115">
        <f>$E$19*$C23/100</f>
        <v>0</v>
      </c>
      <c r="F23" s="115">
        <f t="shared" si="1"/>
        <v>0</v>
      </c>
    </row>
    <row r="24" spans="1:6" ht="35.1" customHeight="1" thickBot="1" x14ac:dyDescent="0.3">
      <c r="A24" s="106">
        <v>512</v>
      </c>
      <c r="B24" s="101" t="s">
        <v>10</v>
      </c>
      <c r="C24" s="103">
        <v>1</v>
      </c>
      <c r="D24" s="116">
        <f>$D$19*$C24/100</f>
        <v>0</v>
      </c>
      <c r="E24" s="116">
        <f>$E$19*$C24/100</f>
        <v>0</v>
      </c>
      <c r="F24" s="116">
        <f>ROUND(SUM(D24:E24),2)</f>
        <v>0</v>
      </c>
    </row>
    <row r="25" spans="1:6" ht="35.1" customHeight="1" thickBot="1" x14ac:dyDescent="0.3">
      <c r="A25" s="117" t="s">
        <v>4</v>
      </c>
      <c r="B25" s="117"/>
      <c r="C25" s="117"/>
      <c r="D25" s="119">
        <f>SUM(D20:D24)</f>
        <v>0</v>
      </c>
      <c r="E25" s="119">
        <f>SUM(E20:E24)</f>
        <v>0</v>
      </c>
      <c r="F25" s="119">
        <f>ROUND(SUM(D25:E25),2)</f>
        <v>0</v>
      </c>
    </row>
    <row r="26" spans="1:6" ht="35.1" customHeight="1" thickBot="1" x14ac:dyDescent="0.3">
      <c r="A26" s="123" t="s">
        <v>11</v>
      </c>
      <c r="B26" s="123"/>
      <c r="C26" s="123"/>
      <c r="D26" s="124">
        <f>D25+D18</f>
        <v>0</v>
      </c>
      <c r="E26" s="124">
        <f>E25+E18</f>
        <v>0</v>
      </c>
      <c r="F26" s="124">
        <f>SUM(D26:E26)</f>
        <v>0</v>
      </c>
    </row>
  </sheetData>
  <mergeCells count="5">
    <mergeCell ref="A18:B18"/>
    <mergeCell ref="A19:B19"/>
    <mergeCell ref="A25:C25"/>
    <mergeCell ref="A26:C26"/>
    <mergeCell ref="A4:B5"/>
  </mergeCells>
  <phoneticPr fontId="11" type="noConversion"/>
  <pageMargins left="0.7" right="0.7" top="0.75" bottom="0.75" header="0.3" footer="0.3"/>
  <pageSetup paperSize="9" orientation="portrait" horizontalDpi="4294967293" verticalDpi="4294967293" r:id="rId1"/>
  <ignoredErrors>
    <ignoredError sqref="F21 F22:F23" formulaRange="1"/>
    <ignoredError sqref="A8:A17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6:O47"/>
  <sheetViews>
    <sheetView workbookViewId="0">
      <selection activeCell="B18" sqref="B18:B19"/>
    </sheetView>
  </sheetViews>
  <sheetFormatPr baseColWidth="10" defaultRowHeight="14.25" x14ac:dyDescent="0.2"/>
  <cols>
    <col min="1" max="1" width="6.28515625" style="1" customWidth="1"/>
    <col min="2" max="2" width="10.28515625" style="1" customWidth="1"/>
    <col min="3" max="3" width="51.28515625" style="1" bestFit="1" customWidth="1"/>
    <col min="4" max="4" width="20.28515625" style="1" customWidth="1"/>
    <col min="5" max="5" width="22" style="1" customWidth="1"/>
    <col min="6" max="6" width="20.28515625" style="1" customWidth="1"/>
    <col min="7" max="7" width="67.42578125" style="1" customWidth="1"/>
    <col min="8" max="8" width="14.42578125" style="2" bestFit="1" customWidth="1"/>
    <col min="9" max="256" width="9.140625" style="1" customWidth="1"/>
    <col min="257" max="16384" width="11.42578125" style="1"/>
  </cols>
  <sheetData>
    <row r="6" spans="2:5" ht="15.75" x14ac:dyDescent="0.25">
      <c r="B6" s="25" t="s">
        <v>25</v>
      </c>
    </row>
    <row r="7" spans="2:5" ht="15.75" x14ac:dyDescent="0.25">
      <c r="B7" s="25" t="s">
        <v>31</v>
      </c>
    </row>
    <row r="8" spans="2:5" ht="15.75" x14ac:dyDescent="0.25">
      <c r="B8" s="25" t="s">
        <v>23</v>
      </c>
    </row>
    <row r="9" spans="2:5" ht="16.5" thickBot="1" x14ac:dyDescent="0.3">
      <c r="B9" s="27"/>
    </row>
    <row r="10" spans="2:5" ht="19.899999999999999" customHeight="1" thickBot="1" x14ac:dyDescent="0.25">
      <c r="B10" s="51" t="s">
        <v>12</v>
      </c>
      <c r="C10" s="52"/>
      <c r="D10" s="53" t="s">
        <v>37</v>
      </c>
      <c r="E10" s="54"/>
    </row>
    <row r="11" spans="2:5" ht="8.25" customHeight="1" thickBot="1" x14ac:dyDescent="0.3">
      <c r="B11" s="16"/>
      <c r="C11" s="45"/>
      <c r="D11" s="46"/>
      <c r="E11" s="46"/>
    </row>
    <row r="12" spans="2:5" ht="19.899999999999999" customHeight="1" thickBot="1" x14ac:dyDescent="0.25">
      <c r="B12" s="51" t="s">
        <v>48</v>
      </c>
      <c r="C12" s="52"/>
      <c r="D12" s="53" t="s">
        <v>36</v>
      </c>
      <c r="E12" s="54"/>
    </row>
    <row r="13" spans="2:5" ht="8.25" customHeight="1" thickBot="1" x14ac:dyDescent="0.3">
      <c r="B13" s="16"/>
      <c r="C13" s="45"/>
      <c r="D13" s="46"/>
      <c r="E13" s="46"/>
    </row>
    <row r="14" spans="2:5" ht="19.899999999999999" customHeight="1" thickBot="1" x14ac:dyDescent="0.25">
      <c r="B14" s="51" t="s">
        <v>13</v>
      </c>
      <c r="C14" s="52"/>
      <c r="D14" s="53" t="s">
        <v>39</v>
      </c>
      <c r="E14" s="54"/>
    </row>
    <row r="15" spans="2:5" ht="8.25" customHeight="1" thickBot="1" x14ac:dyDescent="0.3">
      <c r="B15" s="16"/>
      <c r="C15" s="45"/>
      <c r="D15" s="46"/>
      <c r="E15" s="46"/>
    </row>
    <row r="16" spans="2:5" ht="19.899999999999999" customHeight="1" thickBot="1" x14ac:dyDescent="0.25">
      <c r="B16" s="51" t="s">
        <v>14</v>
      </c>
      <c r="C16" s="52"/>
      <c r="D16" s="55" t="s">
        <v>45</v>
      </c>
      <c r="E16" s="56"/>
    </row>
    <row r="17" spans="2:10" ht="8.25" customHeight="1" thickBot="1" x14ac:dyDescent="0.3">
      <c r="C17" s="16"/>
      <c r="D17" s="16"/>
      <c r="E17" s="47"/>
    </row>
    <row r="18" spans="2:10" ht="15.6" customHeight="1" x14ac:dyDescent="0.2">
      <c r="B18" s="57" t="s">
        <v>15</v>
      </c>
      <c r="C18" s="57" t="s">
        <v>16</v>
      </c>
      <c r="D18" s="57" t="s">
        <v>17</v>
      </c>
      <c r="E18" s="57" t="s">
        <v>18</v>
      </c>
      <c r="F18" s="64" t="s">
        <v>49</v>
      </c>
      <c r="G18" s="57" t="s">
        <v>19</v>
      </c>
    </row>
    <row r="19" spans="2:10" ht="15" customHeight="1" thickBot="1" x14ac:dyDescent="0.25">
      <c r="B19" s="58"/>
      <c r="C19" s="58"/>
      <c r="D19" s="58"/>
      <c r="E19" s="58"/>
      <c r="F19" s="58"/>
      <c r="G19" s="58"/>
    </row>
    <row r="20" spans="2:10" ht="21" customHeight="1" x14ac:dyDescent="0.2">
      <c r="B20" s="8" t="str">
        <f>DETAIL!A18</f>
        <v>1100</v>
      </c>
      <c r="C20" s="9" t="str">
        <f>DETAIL!B18</f>
        <v>SALAIRE DE BASE</v>
      </c>
      <c r="D20" s="10"/>
      <c r="E20" s="50">
        <f>DETAIL!E18</f>
        <v>155824.31</v>
      </c>
      <c r="F20" s="8"/>
      <c r="G20" s="65" t="s">
        <v>50</v>
      </c>
    </row>
    <row r="21" spans="2:10" ht="21" customHeight="1" x14ac:dyDescent="0.2">
      <c r="B21" s="8">
        <f>DETAIL!A19</f>
        <v>1116</v>
      </c>
      <c r="C21" s="9" t="str">
        <f>DETAIL!B19</f>
        <v>INDEMNITE DE NUISANCES</v>
      </c>
      <c r="D21" s="10"/>
      <c r="E21" s="50">
        <f>DETAIL!E19</f>
        <v>3482.05</v>
      </c>
      <c r="F21" s="8"/>
      <c r="G21" s="66"/>
    </row>
    <row r="22" spans="2:10" ht="21" customHeight="1" x14ac:dyDescent="0.2">
      <c r="B22" s="8">
        <f>DETAIL!A20</f>
        <v>1125</v>
      </c>
      <c r="C22" s="9" t="str">
        <f>DETAIL!B20</f>
        <v>HRE SUPP. JR OUVRABLE 50%               01/26</v>
      </c>
      <c r="D22" s="10"/>
      <c r="E22" s="50">
        <f>DETAIL!E20</f>
        <v>43152</v>
      </c>
      <c r="F22" s="8"/>
      <c r="G22" s="66"/>
    </row>
    <row r="23" spans="2:10" ht="21" customHeight="1" x14ac:dyDescent="0.2">
      <c r="B23" s="8">
        <f>DETAIL!A21</f>
        <v>1125</v>
      </c>
      <c r="C23" s="9" t="str">
        <f>DETAIL!B21</f>
        <v>HRE SUPP. JR OUVRABLE 50%               02/26</v>
      </c>
      <c r="D23" s="10"/>
      <c r="E23" s="50">
        <f>DETAIL!E21</f>
        <v>43152</v>
      </c>
      <c r="F23" s="8"/>
      <c r="G23" s="66"/>
    </row>
    <row r="24" spans="2:10" ht="21" customHeight="1" x14ac:dyDescent="0.2">
      <c r="B24" s="8" t="str">
        <f>DETAIL!A22</f>
        <v>1159</v>
      </c>
      <c r="C24" s="9" t="str">
        <f>DETAIL!B22</f>
        <v>RAP INDE.ZONE INDU. NORD                  01/26</v>
      </c>
      <c r="D24" s="10"/>
      <c r="E24" s="50">
        <f>DETAIL!E22</f>
        <v>-2134.65</v>
      </c>
      <c r="F24" s="8"/>
      <c r="G24" s="66"/>
    </row>
    <row r="25" spans="2:10" ht="21" customHeight="1" x14ac:dyDescent="0.2">
      <c r="B25" s="8" t="str">
        <f>DETAIL!A23</f>
        <v>1159</v>
      </c>
      <c r="C25" s="9" t="str">
        <f>DETAIL!B23</f>
        <v>RAP INDE.ZONE INDU. NORD                  02/26</v>
      </c>
      <c r="D25" s="10"/>
      <c r="E25" s="50">
        <f>DETAIL!E23</f>
        <v>-426.93</v>
      </c>
      <c r="F25" s="8"/>
      <c r="G25" s="66"/>
    </row>
    <row r="26" spans="2:10" ht="21" customHeight="1" x14ac:dyDescent="0.2">
      <c r="B26" s="8" t="str">
        <f>DETAIL!A24</f>
        <v>1159</v>
      </c>
      <c r="C26" s="9" t="str">
        <f>DETAIL!B24</f>
        <v>INDE.ZONE INDU. NORD</v>
      </c>
      <c r="D26" s="10"/>
      <c r="E26" s="50">
        <f>DETAIL!E24</f>
        <v>3130.82</v>
      </c>
      <c r="F26" s="8"/>
      <c r="G26" s="33"/>
    </row>
    <row r="27" spans="2:10" ht="21" customHeight="1" x14ac:dyDescent="0.2">
      <c r="B27" s="8">
        <f>DETAIL!A25</f>
        <v>1176</v>
      </c>
      <c r="C27" s="9" t="str">
        <f>DETAIL!B25</f>
        <v>INDEMNITE ANCIENNETE GRPE</v>
      </c>
      <c r="D27" s="10"/>
      <c r="E27" s="50">
        <f>DETAIL!E25</f>
        <v>15641.66</v>
      </c>
      <c r="F27" s="8"/>
      <c r="G27" s="33"/>
    </row>
    <row r="28" spans="2:10" ht="21" customHeight="1" x14ac:dyDescent="0.2">
      <c r="B28" s="8" t="str">
        <f>DETAIL!A26</f>
        <v>82E3</v>
      </c>
      <c r="C28" s="9" t="str">
        <f>DETAIL!B26</f>
        <v>IZCV H MISSION                                        01/26</v>
      </c>
      <c r="D28" s="10"/>
      <c r="E28" s="50">
        <f>DETAIL!E26</f>
        <v>76950</v>
      </c>
      <c r="F28" s="8"/>
      <c r="G28" s="33"/>
    </row>
    <row r="29" spans="2:10" ht="21" customHeight="1" x14ac:dyDescent="0.2">
      <c r="B29" s="8" t="str">
        <f>DETAIL!A27</f>
        <v>82E3</v>
      </c>
      <c r="C29" s="9" t="str">
        <f>DETAIL!B27</f>
        <v>IZCV H MISSION                                        02/26</v>
      </c>
      <c r="D29" s="10"/>
      <c r="E29" s="50">
        <f>DETAIL!E27</f>
        <v>33858</v>
      </c>
      <c r="F29" s="8"/>
      <c r="G29" s="33"/>
    </row>
    <row r="30" spans="2:10" ht="20.25" customHeight="1" x14ac:dyDescent="0.2">
      <c r="B30" s="31">
        <v>5504</v>
      </c>
      <c r="C30" s="9" t="s">
        <v>6</v>
      </c>
      <c r="D30" s="11">
        <f>DETAIL!$D$29</f>
        <v>261821.26</v>
      </c>
      <c r="E30" s="8"/>
      <c r="F30" s="11">
        <f>DETAIL!E30</f>
        <v>30109.439999999999</v>
      </c>
      <c r="G30" s="12"/>
      <c r="J30" s="28"/>
    </row>
    <row r="31" spans="2:10" ht="20.25" customHeight="1" x14ac:dyDescent="0.2">
      <c r="B31" s="8">
        <v>5506</v>
      </c>
      <c r="C31" s="9" t="s">
        <v>7</v>
      </c>
      <c r="D31" s="11">
        <f>DETAIL!$D$29</f>
        <v>261821.26</v>
      </c>
      <c r="E31" s="30"/>
      <c r="F31" s="11">
        <f>DETAIL!E31</f>
        <v>3272.77</v>
      </c>
      <c r="G31" s="13"/>
      <c r="J31" s="28"/>
    </row>
    <row r="32" spans="2:10" ht="20.25" customHeight="1" x14ac:dyDescent="0.2">
      <c r="B32" s="8">
        <v>5508</v>
      </c>
      <c r="C32" s="9" t="s">
        <v>8</v>
      </c>
      <c r="D32" s="11">
        <f>DETAIL!$D$29</f>
        <v>261821.26</v>
      </c>
      <c r="E32" s="8"/>
      <c r="F32" s="11">
        <f>DETAIL!E32</f>
        <v>28800.34</v>
      </c>
      <c r="G32" s="26"/>
      <c r="J32" s="28"/>
    </row>
    <row r="33" spans="2:15" ht="20.25" customHeight="1" x14ac:dyDescent="0.2">
      <c r="B33" s="8">
        <v>5510</v>
      </c>
      <c r="C33" s="9" t="s">
        <v>9</v>
      </c>
      <c r="D33" s="11">
        <f>DETAIL!$D$29</f>
        <v>261821.26</v>
      </c>
      <c r="E33" s="30"/>
      <c r="F33" s="11">
        <f>DETAIL!E33</f>
        <v>654.54999999999995</v>
      </c>
      <c r="G33" s="12"/>
      <c r="J33" s="28"/>
    </row>
    <row r="34" spans="2:15" ht="20.25" customHeight="1" thickBot="1" x14ac:dyDescent="0.25">
      <c r="B34" s="8">
        <v>5512</v>
      </c>
      <c r="C34" s="9" t="s">
        <v>10</v>
      </c>
      <c r="D34" s="11">
        <f>DETAIL!$D$29</f>
        <v>261821.26</v>
      </c>
      <c r="E34" s="8"/>
      <c r="F34" s="11">
        <f>DETAIL!E34</f>
        <v>2618.21</v>
      </c>
      <c r="G34" s="12"/>
      <c r="J34" s="28"/>
    </row>
    <row r="35" spans="2:15" ht="15.75" x14ac:dyDescent="0.2">
      <c r="B35" s="67" t="s">
        <v>21</v>
      </c>
      <c r="C35" s="68"/>
      <c r="D35" s="69"/>
      <c r="E35" s="73">
        <f>SUM(E20:E34)</f>
        <v>372629.26</v>
      </c>
      <c r="F35" s="73">
        <f>SUM(F30:F34)</f>
        <v>65455.310000000005</v>
      </c>
      <c r="G35" s="15" t="s">
        <v>22</v>
      </c>
    </row>
    <row r="36" spans="2:15" ht="16.5" thickBot="1" x14ac:dyDescent="0.25">
      <c r="B36" s="70"/>
      <c r="C36" s="71"/>
      <c r="D36" s="72"/>
      <c r="E36" s="74"/>
      <c r="F36" s="74"/>
      <c r="G36" s="14">
        <f>E35+F35</f>
        <v>438084.57</v>
      </c>
    </row>
    <row r="37" spans="2:15" ht="15" thickBot="1" x14ac:dyDescent="0.25">
      <c r="O37" s="2"/>
    </row>
    <row r="38" spans="2:15" ht="61.5" customHeight="1" thickBot="1" x14ac:dyDescent="0.25">
      <c r="B38" s="59" t="s">
        <v>52</v>
      </c>
      <c r="C38" s="60"/>
      <c r="D38" s="60"/>
      <c r="E38" s="60"/>
      <c r="F38" s="60"/>
      <c r="G38" s="61"/>
      <c r="O38" s="2"/>
    </row>
    <row r="39" spans="2:15" ht="15.75" x14ac:dyDescent="0.25">
      <c r="B39" s="16"/>
      <c r="C39" s="25"/>
      <c r="D39" s="23"/>
      <c r="F39" s="24"/>
    </row>
    <row r="40" spans="2:15" ht="18" customHeight="1" x14ac:dyDescent="0.25">
      <c r="B40" s="62" t="s">
        <v>51</v>
      </c>
      <c r="C40" s="62"/>
      <c r="D40" s="18"/>
      <c r="E40" s="25"/>
      <c r="F40" s="48"/>
      <c r="G40" s="17"/>
      <c r="O40" s="2"/>
    </row>
    <row r="41" spans="2:15" ht="15.75" x14ac:dyDescent="0.25">
      <c r="B41" s="19"/>
      <c r="C41" s="17"/>
      <c r="D41" s="18"/>
      <c r="E41" s="49"/>
      <c r="F41" s="20"/>
      <c r="G41" s="17"/>
    </row>
    <row r="42" spans="2:15" ht="18" customHeight="1" x14ac:dyDescent="0.2">
      <c r="B42" s="63" t="s">
        <v>30</v>
      </c>
      <c r="C42" s="63"/>
      <c r="D42" s="23"/>
      <c r="E42" s="29"/>
      <c r="F42" s="24"/>
    </row>
    <row r="43" spans="2:15" ht="15.75" x14ac:dyDescent="0.2">
      <c r="B43" s="21"/>
      <c r="C43" s="22"/>
      <c r="D43" s="23"/>
      <c r="F43" s="24" t="s">
        <v>20</v>
      </c>
      <c r="G43" s="1" t="s">
        <v>20</v>
      </c>
    </row>
    <row r="44" spans="2:15" ht="15.75" x14ac:dyDescent="0.25">
      <c r="B44" s="16"/>
      <c r="C44" s="25"/>
      <c r="D44" s="23"/>
      <c r="F44" s="24"/>
    </row>
    <row r="45" spans="2:15" ht="15.75" x14ac:dyDescent="0.2">
      <c r="B45" s="21"/>
      <c r="C45" s="22"/>
      <c r="D45" s="23"/>
      <c r="E45" s="21"/>
      <c r="F45" s="24"/>
    </row>
    <row r="46" spans="2:15" ht="15.75" x14ac:dyDescent="0.25">
      <c r="B46" s="16"/>
      <c r="C46" s="25"/>
      <c r="D46" s="23"/>
      <c r="E46" s="25"/>
      <c r="F46" s="24"/>
      <c r="G46" s="16"/>
    </row>
    <row r="47" spans="2:15" x14ac:dyDescent="0.2">
      <c r="E47" s="29"/>
    </row>
  </sheetData>
  <mergeCells count="21">
    <mergeCell ref="B38:G38"/>
    <mergeCell ref="B40:C40"/>
    <mergeCell ref="B42:C42"/>
    <mergeCell ref="F18:F19"/>
    <mergeCell ref="G18:G19"/>
    <mergeCell ref="G20:G25"/>
    <mergeCell ref="B35:D36"/>
    <mergeCell ref="E35:E36"/>
    <mergeCell ref="F35:F36"/>
    <mergeCell ref="B16:C16"/>
    <mergeCell ref="D16:E16"/>
    <mergeCell ref="B18:B19"/>
    <mergeCell ref="C18:C19"/>
    <mergeCell ref="D18:D19"/>
    <mergeCell ref="E18:E19"/>
    <mergeCell ref="B10:C10"/>
    <mergeCell ref="D10:E10"/>
    <mergeCell ref="B12:C12"/>
    <mergeCell ref="D12:E12"/>
    <mergeCell ref="B14:C14"/>
    <mergeCell ref="D14:E14"/>
  </mergeCells>
  <pageMargins left="0.39370078740157483" right="0.19685039370078741" top="0.39370078740157483" bottom="0.19685039370078741" header="0" footer="0"/>
  <pageSetup paperSize="9" scale="70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Interface</vt:lpstr>
      <vt:lpstr>DETAIL</vt:lpstr>
      <vt:lpstr>details</vt:lpstr>
      <vt:lpstr>1513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GL3Z/S/SA/GUELLICHA</dc:creator>
  <cp:lastModifiedBy>BELKHELFA Mohammed</cp:lastModifiedBy>
  <cp:lastPrinted>2026-03-09T09:52:32Z</cp:lastPrinted>
  <dcterms:created xsi:type="dcterms:W3CDTF">2017-02-01T08:41:53Z</dcterms:created>
  <dcterms:modified xsi:type="dcterms:W3CDTF">2026-07-12T11:46:53Z</dcterms:modified>
</cp:coreProperties>
</file>