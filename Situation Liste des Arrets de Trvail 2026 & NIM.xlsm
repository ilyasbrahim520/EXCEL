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v97175\Desktop\"/>
    </mc:Choice>
  </mc:AlternateContent>
  <xr:revisionPtr revIDLastSave="0" documentId="13_ncr:1_{E889C5DA-7097-413A-A7EA-60B71F512DBB}" xr6:coauthVersionLast="47" xr6:coauthVersionMax="47" xr10:uidLastSave="{00000000-0000-0000-0000-000000000000}"/>
  <bookViews>
    <workbookView xWindow="-120" yWindow="-120" windowWidth="29040" windowHeight="15720" tabRatio="629" xr2:uid="{00000000-000D-0000-FFFF-FFFF00000000}"/>
  </bookViews>
  <sheets>
    <sheet name="Interface" sheetId="17" r:id="rId1"/>
    <sheet name="GLOBAL" sheetId="10" r:id="rId2"/>
    <sheet name="Instance" sheetId="11" r:id="rId3"/>
    <sheet name="Indemnisé" sheetId="12" r:id="rId4"/>
    <sheet name="Absence Controle" sheetId="13" r:id="rId5"/>
    <sheet name="NIM" sheetId="2" r:id="rId6"/>
    <sheet name="Employee Data" sheetId="4" r:id="rId7"/>
  </sheets>
  <definedNames>
    <definedName name="_xlnm._FilterDatabase" localSheetId="4" hidden="1">'Absence Controle'!$A$1:$O$1</definedName>
    <definedName name="_xlnm._FilterDatabase" localSheetId="6" hidden="1">'Employee Data'!$A$1:$D$1</definedName>
    <definedName name="_xlnm._FilterDatabase" localSheetId="1" hidden="1">GLOBAL!$A$1:$O$364</definedName>
    <definedName name="_xlnm._FilterDatabase" localSheetId="3" hidden="1">Indemnisé!$A$1:$O$1</definedName>
    <definedName name="_xlnm._FilterDatabase" localSheetId="2" hidden="1">Instance!$A$1:$O$1</definedName>
    <definedName name="DEPARTEMENT">DATA_TABLE[Département]</definedName>
    <definedName name="ECHELLE">DATA_TABLE[Echelle]</definedName>
    <definedName name="MATRICULE_SAP">DATA_TABLE[Matricule]</definedName>
    <definedName name="N_SS">DATA_TABLE[Numéro de sécurité sociale]</definedName>
    <definedName name="NOM_PRENOM">DATA_TABLE[NOM ET PRENOM]</definedName>
    <definedName name="NOM_PRENOM_2">DATA_TABLE[NOM ET PRENOM 2]</definedName>
    <definedName name="NOM_PRENOM_S">Table14[NOM ET PRENOM S]</definedName>
    <definedName name="Paper">NIM!$A$1:$BF$49</definedName>
    <definedName name="POSTE">DATA_TABLE[Poste]</definedName>
    <definedName name="POSTE_S">Table14[POSTE S]</definedName>
    <definedName name="STATUT_SALARIES">DATA_TABLE[Statut de salariés]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6" i="17" l="1"/>
  <c r="E8" i="17"/>
  <c r="F8" i="17"/>
  <c r="C18" i="17"/>
  <c r="B18" i="17"/>
  <c r="B16" i="17"/>
  <c r="G9" i="4"/>
  <c r="G15" i="4"/>
  <c r="G41" i="4"/>
  <c r="G57" i="4"/>
  <c r="G71" i="4"/>
  <c r="G80" i="4"/>
  <c r="G83" i="4"/>
  <c r="G85" i="4"/>
  <c r="G88" i="4"/>
  <c r="G101" i="4"/>
  <c r="G104" i="4"/>
  <c r="G106" i="4"/>
  <c r="G111" i="4"/>
  <c r="G112" i="4"/>
  <c r="G115" i="4"/>
  <c r="G117" i="4"/>
  <c r="G121" i="4"/>
  <c r="G123" i="4"/>
  <c r="G134" i="4"/>
  <c r="G135" i="4"/>
  <c r="G140" i="4"/>
  <c r="G141" i="4"/>
  <c r="G145" i="4"/>
  <c r="G148" i="4"/>
  <c r="G169" i="4"/>
  <c r="G172" i="4"/>
  <c r="G197" i="4"/>
  <c r="G213" i="4"/>
  <c r="G215" i="4"/>
  <c r="G236" i="4"/>
  <c r="G256" i="4"/>
  <c r="G257" i="4"/>
  <c r="G265" i="4"/>
  <c r="G270" i="4"/>
  <c r="G292" i="4"/>
  <c r="G313" i="4"/>
  <c r="G317" i="4"/>
  <c r="G325" i="4"/>
  <c r="G369" i="4"/>
  <c r="G375" i="4"/>
  <c r="G381" i="4"/>
  <c r="G405" i="4"/>
  <c r="G411" i="4"/>
  <c r="G592" i="4"/>
  <c r="G598" i="4"/>
  <c r="G600" i="4"/>
  <c r="G601" i="4"/>
  <c r="G602" i="4"/>
  <c r="G607" i="4"/>
  <c r="G623" i="4"/>
  <c r="G629" i="4"/>
  <c r="G635" i="4"/>
  <c r="G636" i="4"/>
  <c r="G640" i="4"/>
  <c r="G647" i="4"/>
  <c r="G649" i="4"/>
  <c r="G651" i="4"/>
  <c r="G653" i="4"/>
  <c r="G655" i="4"/>
  <c r="G668" i="4"/>
  <c r="G681" i="4"/>
  <c r="G701" i="4"/>
  <c r="G707" i="4"/>
  <c r="G748" i="4"/>
  <c r="G790" i="4"/>
  <c r="G844" i="4"/>
  <c r="G845" i="4"/>
  <c r="G891" i="4"/>
  <c r="G896" i="4"/>
</calcChain>
</file>

<file path=xl/sharedStrings.xml><?xml version="1.0" encoding="utf-8"?>
<sst xmlns="http://schemas.openxmlformats.org/spreadsheetml/2006/main" count="9475" uniqueCount="2161">
  <si>
    <t>Fait à Béthioua, le</t>
  </si>
  <si>
    <t>NOTE D'INFORMATION MALADIE</t>
  </si>
  <si>
    <r>
      <t>TYPE</t>
    </r>
    <r>
      <rPr>
        <sz val="4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:</t>
    </r>
  </si>
  <si>
    <t>N°SS :</t>
  </si>
  <si>
    <r>
      <t>Matricule</t>
    </r>
    <r>
      <rPr>
        <sz val="4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 xml:space="preserve"> :</t>
    </r>
  </si>
  <si>
    <t>Nous Vous informons que l'agent</t>
  </si>
  <si>
    <t>Nous a présenté un certificat médical conforme, lui prescrivant un arrêt de travail de</t>
  </si>
  <si>
    <t>au</t>
  </si>
  <si>
    <t>sauf prolongation.</t>
  </si>
  <si>
    <t>GL3Z-077-S/34</t>
  </si>
  <si>
    <t>APP</t>
  </si>
  <si>
    <t>ADM</t>
  </si>
  <si>
    <t>DIR</t>
  </si>
  <si>
    <t>HSE</t>
  </si>
  <si>
    <t>JUR</t>
  </si>
  <si>
    <t>MOG</t>
  </si>
  <si>
    <t>RINV</t>
  </si>
  <si>
    <t>SIE</t>
  </si>
  <si>
    <t>SIG</t>
  </si>
  <si>
    <t>CM</t>
  </si>
  <si>
    <t>A Monsieur Le chef de département</t>
  </si>
  <si>
    <t>L'agent devra reprendre son service le</t>
  </si>
  <si>
    <t>Complexe GL3Z</t>
  </si>
  <si>
    <t>Activité Liquéfaction &amp; Séparation</t>
  </si>
  <si>
    <t>Division GNL &amp; GPL</t>
  </si>
  <si>
    <t>du</t>
  </si>
  <si>
    <t>Matricule</t>
  </si>
  <si>
    <t>Numéro de sécurité sociale</t>
  </si>
  <si>
    <t>NOM ET PRENOM</t>
  </si>
  <si>
    <t>Département</t>
  </si>
  <si>
    <t>Mme BERRANI MADJHOUDA HANENE</t>
  </si>
  <si>
    <t>Mme ATTOUCHE ROMAISSA</t>
  </si>
  <si>
    <t>Mme ALLALI AMINA</t>
  </si>
  <si>
    <t>Mme ADDA BOUAMAMA HANANE</t>
  </si>
  <si>
    <t>Mme NEDJADI SAKINA</t>
  </si>
  <si>
    <t>Mme HADJ ALI MALIKA</t>
  </si>
  <si>
    <t>Mme AZIL IKRAM</t>
  </si>
  <si>
    <t>Mme BELKHODJA WAHIBA</t>
  </si>
  <si>
    <t>Mme NEZZAR AMINA</t>
  </si>
  <si>
    <t>FINANCES</t>
  </si>
  <si>
    <t>Mme GUESSOUM RABIAA IBTISSEM</t>
  </si>
  <si>
    <t>Mme SEBAA MERIEM</t>
  </si>
  <si>
    <t>Mme DAIFELLAH AICHA</t>
  </si>
  <si>
    <t>Mme AZROUG SOUHILA</t>
  </si>
  <si>
    <t>Mme HAMAMCHA DALLEL</t>
  </si>
  <si>
    <t>Mme BRAHMINE MERIEM</t>
  </si>
  <si>
    <t>Mme BEZZINE MERIEM</t>
  </si>
  <si>
    <t>Mme BOUNAAMA SARAH</t>
  </si>
  <si>
    <t>Mme ABBAD AICHA</t>
  </si>
  <si>
    <t>Mme MERABET DJAMILA</t>
  </si>
  <si>
    <t>Mme SALEM NADIA</t>
  </si>
  <si>
    <t>Mme CHAIB DRAA TANI NAWEL</t>
  </si>
  <si>
    <t>Mme BELAS NOUR EL HOUDA</t>
  </si>
  <si>
    <t>Mme TAHIDOUSTI KARIMA</t>
  </si>
  <si>
    <t>Mme KACIMI HOUARIA</t>
  </si>
  <si>
    <t>Mme MAZOUZI KHEIRA</t>
  </si>
  <si>
    <t>Mme SELMA FATMA</t>
  </si>
  <si>
    <t>Mme BENTATA WAHIBA</t>
  </si>
  <si>
    <t>Mme GUETTARI ISMAHENE REKIA</t>
  </si>
  <si>
    <t>Mme LAREDJ IMANE</t>
  </si>
  <si>
    <t>Mme LOUMANI FATIMA ZOHRA</t>
  </si>
  <si>
    <t>Mme MEBIROUK SAMIA</t>
  </si>
  <si>
    <t>Mme HADDJAME FATIHA</t>
  </si>
  <si>
    <t>Mme DEKHILI AMINA</t>
  </si>
  <si>
    <t>Mme HADJAM NOUR EL HOUDA</t>
  </si>
  <si>
    <t>INSPECTION</t>
  </si>
  <si>
    <t>Mme MESLI WASSILA NADIA</t>
  </si>
  <si>
    <t>Mme DAHMANI SAMIA</t>
  </si>
  <si>
    <t>Mme ISRI IMENE</t>
  </si>
  <si>
    <t>Mme BELLACHE LEILA</t>
  </si>
  <si>
    <t>Mme BENZIANE NAIMA</t>
  </si>
  <si>
    <t>Mme SOLTANA HOUDA</t>
  </si>
  <si>
    <t>Mme AMRI FATIHA</t>
  </si>
  <si>
    <t>Mme BOUBAKEUR NORIA</t>
  </si>
  <si>
    <t>MAINTENANCE</t>
  </si>
  <si>
    <t>Mme TCHENAR IKRAM</t>
  </si>
  <si>
    <t>Mme MIMOUCHE HAYET</t>
  </si>
  <si>
    <t>Mme BOUNOUAR MANSORIYA</t>
  </si>
  <si>
    <t>Mme BENDIDI KHAMSSA</t>
  </si>
  <si>
    <t>Mme HAFFAR AMINA</t>
  </si>
  <si>
    <t>Mme MOKHTARI HANAN</t>
  </si>
  <si>
    <t>Mme BENDEHNOUN HIND</t>
  </si>
  <si>
    <t>Mme AMEUR AMINA</t>
  </si>
  <si>
    <t>Mme CHAIBDRAA TANI HAYAT</t>
  </si>
  <si>
    <t>Mme HAMERLAINE SALIHA</t>
  </si>
  <si>
    <t>Mme MERZOUGUI IMANE</t>
  </si>
  <si>
    <t>Mme SAHRAOUI ZEYNEB</t>
  </si>
  <si>
    <t>Mme KAOUCHE ASMAA</t>
  </si>
  <si>
    <t>Mme LABDI AMEL</t>
  </si>
  <si>
    <t>RH</t>
  </si>
  <si>
    <t>Mme MOKHTARI KATIA</t>
  </si>
  <si>
    <t>Mme ACHOUR DJAHIDA</t>
  </si>
  <si>
    <t>Mme CHEMLAL HANANE</t>
  </si>
  <si>
    <t/>
  </si>
  <si>
    <t>Mme AOUMER DJAMILA</t>
  </si>
  <si>
    <t>Mme HAMOUS YASMINE</t>
  </si>
  <si>
    <t>Mme BENZINEB DALILA</t>
  </si>
  <si>
    <t>Mme SIDELHADJ HADJER</t>
  </si>
  <si>
    <t>Mme NEGADI IBTISSEM</t>
  </si>
  <si>
    <t>Mme AMARA RADIA</t>
  </si>
  <si>
    <t>TECHNIQUE</t>
  </si>
  <si>
    <t>Mme OULD SAID IKRAM</t>
  </si>
  <si>
    <t>Mme BECETTI KHADIDJA</t>
  </si>
  <si>
    <t>Mme HOCINE DALLAL</t>
  </si>
  <si>
    <t>Mme BELKADI NAWEL</t>
  </si>
  <si>
    <t>Mme SERSAR HASSIBA</t>
  </si>
  <si>
    <t>Mme BENBACHIR FATIMA</t>
  </si>
  <si>
    <t>Mme MERZOUG NAWEL</t>
  </si>
  <si>
    <t>Mme DJILALI MERZOUG ISMA</t>
  </si>
  <si>
    <t>Mme ZITOUNI MOUNIET NEFOUSS</t>
  </si>
  <si>
    <t>Mme SADAT FATIMA</t>
  </si>
  <si>
    <t>Mme BOUTELDJ SARRA</t>
  </si>
  <si>
    <t>Mme BECHIR SABRINA</t>
  </si>
  <si>
    <t>Mme BENMESSAOUD DJAMILA</t>
  </si>
  <si>
    <t>Mme MEZOUED ZOUGGAR LINDA</t>
  </si>
  <si>
    <t>Mme AMEUR NAIMA</t>
  </si>
  <si>
    <t>PRODUCTION</t>
  </si>
  <si>
    <t>Mme KOUIDER NOURIA</t>
  </si>
  <si>
    <t>Mme BOUHAFSI NESRINE</t>
  </si>
  <si>
    <t>Mme FRITIS KELTOUM</t>
  </si>
  <si>
    <t>Mme MOKEDDEM KHEIRA</t>
  </si>
  <si>
    <t>Mme BOUZIANI IMENE</t>
  </si>
  <si>
    <t>Mme GHAZOUI SARRA NOUR EL HOUDA</t>
  </si>
  <si>
    <t>Mme BENTOUIR MAROUA</t>
  </si>
  <si>
    <t>Mme ZAFRANE SOUAD</t>
  </si>
  <si>
    <t>Mme MEHIDI FATIMA ZOHRA</t>
  </si>
  <si>
    <t>Mme HAMIA FAIZA</t>
  </si>
  <si>
    <t>Mme HIMER AMEL</t>
  </si>
  <si>
    <t>Mme BOUKHATEM NAHLA</t>
  </si>
  <si>
    <t>Mme MEKRABECH SAMIA NARDJES</t>
  </si>
  <si>
    <t>Mme AOUAICHIA KHADIDJA</t>
  </si>
  <si>
    <t>Mme BORDJI AMEL</t>
  </si>
  <si>
    <t>Mme FAREH NAWEL</t>
  </si>
  <si>
    <t>Mme BENMEDJAHED LILA</t>
  </si>
  <si>
    <t>Mme BOUDJELLA SONIA</t>
  </si>
  <si>
    <t>Mme HAMZAOUI SALIMA</t>
  </si>
  <si>
    <t>Mme BOUBRIMA NABILA</t>
  </si>
  <si>
    <t>Mme BENKHELIFA SOUHILA</t>
  </si>
  <si>
    <t>N°</t>
  </si>
  <si>
    <t>Matric</t>
  </si>
  <si>
    <t>Nom et prenom</t>
  </si>
  <si>
    <t>Poste(Désignation)</t>
  </si>
  <si>
    <t>Statut de salariés</t>
  </si>
  <si>
    <t>Echelle</t>
  </si>
  <si>
    <t>Numero SS</t>
  </si>
  <si>
    <t>Date réception</t>
  </si>
  <si>
    <t>Date Debu A T</t>
  </si>
  <si>
    <t>Date Fin A T</t>
  </si>
  <si>
    <t>Date reprise</t>
  </si>
  <si>
    <t>NOMBRE DE JOUR</t>
  </si>
  <si>
    <t>Type A T</t>
  </si>
  <si>
    <t>Nature A T</t>
  </si>
  <si>
    <t>Paiement</t>
  </si>
  <si>
    <t>MOKHTARI HANAN</t>
  </si>
  <si>
    <t>TECHN INSTRUMENTISTE PPL N2</t>
  </si>
  <si>
    <t>MAITRISE</t>
  </si>
  <si>
    <t>MAT</t>
  </si>
  <si>
    <t>NORMAL</t>
  </si>
  <si>
    <t>INSTANCE</t>
  </si>
  <si>
    <t>SEBAA MERIEM</t>
  </si>
  <si>
    <t>CADRE COMPTABLE/FIN N1</t>
  </si>
  <si>
    <t>CADRE</t>
  </si>
  <si>
    <t>absence contrôle medical CNAS</t>
  </si>
  <si>
    <t>DIDI YAHIA</t>
  </si>
  <si>
    <t>ING INSTRUMENTATION N1</t>
  </si>
  <si>
    <t>PLG</t>
  </si>
  <si>
    <t>LAREDJ IMANE</t>
  </si>
  <si>
    <t>ING SECURITE N2</t>
  </si>
  <si>
    <t>ACHOUR DJAHIDA</t>
  </si>
  <si>
    <t>CADRE ETUDES RHU N2</t>
  </si>
  <si>
    <t>HARBI MAROUA</t>
  </si>
  <si>
    <t>TECHN EXPLOITATION PPL N2</t>
  </si>
  <si>
    <t>HADDADI AMINE</t>
  </si>
  <si>
    <t>ING SYSTEMES N2</t>
  </si>
  <si>
    <t>BRAHIMI SAMIHA</t>
  </si>
  <si>
    <t>BOUCENNA NABIL</t>
  </si>
  <si>
    <t>CHIMISTE PPL N2</t>
  </si>
  <si>
    <t>HALFAOUI KADA MOHAMED</t>
  </si>
  <si>
    <t>TECHN INTERVENTION PPL N2</t>
  </si>
  <si>
    <t>SIDI YACOUB NESREDDINE</t>
  </si>
  <si>
    <t>BENABDALLAH SOFIANE</t>
  </si>
  <si>
    <t>CADRE ETUDES TECH N1(S/REAL)</t>
  </si>
  <si>
    <t>REFFAS ADEL HOUSSEM EDDINE</t>
  </si>
  <si>
    <t>ING SECURITE N1</t>
  </si>
  <si>
    <t>BENAMER HOCINE</t>
  </si>
  <si>
    <t>C/MAITRE INTERVENTION PPL N1</t>
  </si>
  <si>
    <t>BENZINEB DALILA</t>
  </si>
  <si>
    <t>TECHN TELECOM PPL N2</t>
  </si>
  <si>
    <t>KHIATI TEWFIK</t>
  </si>
  <si>
    <t>TECHN EXPL POLYV PPL N3(DCS)</t>
  </si>
  <si>
    <t>MOSTAFA CHAKIB FOUAZ</t>
  </si>
  <si>
    <t>BOUSMAHA KARIM</t>
  </si>
  <si>
    <t>CHEF EQUIPE SURETE INT N3</t>
  </si>
  <si>
    <t>TOUATI AHLEM</t>
  </si>
  <si>
    <t>CHARGE GESTION APPRO N3</t>
  </si>
  <si>
    <t>LATROCH HIND</t>
  </si>
  <si>
    <t>TECHN INSPECTION EQPTS PPL N2</t>
  </si>
  <si>
    <t>BOUNOUA BRAHIM</t>
  </si>
  <si>
    <t>MAHDJOUB ZAKARIA</t>
  </si>
  <si>
    <t>TECHN EXPLOITATION PPL N3</t>
  </si>
  <si>
    <t>GUETTARI ISMAHENE REKIA</t>
  </si>
  <si>
    <t>SECRETAIRE ASSIST. PPL N1</t>
  </si>
  <si>
    <t>NIATI TAREK</t>
  </si>
  <si>
    <t>INSPECTEUR PREVENTION PPL N1</t>
  </si>
  <si>
    <t>KOHLI MOHAMMED EL AMINE</t>
  </si>
  <si>
    <t>BOUASRIA ABDELHAMID</t>
  </si>
  <si>
    <t>ING MECANIQUE N3</t>
  </si>
  <si>
    <t xml:space="preserve"> BOUZID EL MEHDI</t>
  </si>
  <si>
    <t xml:space="preserve"> MOKRANI ZAKARIA</t>
  </si>
  <si>
    <t>CHARGE GEST SCES GENERX N2</t>
  </si>
  <si>
    <t>NEDJADI SAKINA</t>
  </si>
  <si>
    <t>EL KOUMITI MOSTEFA</t>
  </si>
  <si>
    <t xml:space="preserve"> MEKRABECH SAMIA NARDJES</t>
  </si>
  <si>
    <t>CHARGE GESTION ADM N3</t>
  </si>
  <si>
    <t>ZEROUALI MENACER</t>
  </si>
  <si>
    <t>CHEF QUART LABORATOIRE N2</t>
  </si>
  <si>
    <t>NEFAH IBRAHIM</t>
  </si>
  <si>
    <t>TECHNICIEN INTERVENTION PPL</t>
  </si>
  <si>
    <t>CHEBLI TAWFIQ</t>
  </si>
  <si>
    <t>CADRE JURIDIQUE N2</t>
  </si>
  <si>
    <t>LEGAID SMAIN</t>
  </si>
  <si>
    <t>TECHN MECANICIEN CFM</t>
  </si>
  <si>
    <t>TCHENAR IKRAM</t>
  </si>
  <si>
    <t>CHARGE ETUDES STATISTIQ N2</t>
  </si>
  <si>
    <t>KAOUCHE ASMAA</t>
  </si>
  <si>
    <t>TECHN PREPARATION PPL N2(MAINT)</t>
  </si>
  <si>
    <t>BENDIDI KHAMSSA</t>
  </si>
  <si>
    <t>TECHN PREPARATION PPL N3(MAINT)</t>
  </si>
  <si>
    <t>CHAOUCH ABDELHALIM</t>
  </si>
  <si>
    <t>BELKHELFA MOHAMMED</t>
  </si>
  <si>
    <t>GESTIONNAIRE SOCIAL N1</t>
  </si>
  <si>
    <t>EXECUTION</t>
  </si>
  <si>
    <t>LABBAS SID AHMED</t>
  </si>
  <si>
    <t xml:space="preserve"> KAID KAMEL MOHAMED</t>
  </si>
  <si>
    <t>ING ENVIRONNEMENT N3</t>
  </si>
  <si>
    <t>BENKREIRA SOFIANE</t>
  </si>
  <si>
    <t>ING SYSTEMES N3</t>
  </si>
  <si>
    <t>NEKAB NADIA</t>
  </si>
  <si>
    <t xml:space="preserve">KHELLAFI SMAIL </t>
  </si>
  <si>
    <t>BOUHEND BENYAHIA</t>
  </si>
  <si>
    <t>HAOUI MOHAMED</t>
  </si>
  <si>
    <t>DARRAB ADEL</t>
  </si>
  <si>
    <t>SAHRAOUI ZEYNEB</t>
  </si>
  <si>
    <t>ING PLANNING N1 (S/REAL)</t>
  </si>
  <si>
    <t>GHEDABNA MOHAMMED CHAWKI</t>
  </si>
  <si>
    <t>BENTOUIR MAROUA</t>
  </si>
  <si>
    <t xml:space="preserve">BENCHERIF ALI </t>
  </si>
  <si>
    <t>TECHN MECANICIEN PPL N2</t>
  </si>
  <si>
    <t xml:space="preserve"> RAHAL ABDELKADER ANAS</t>
  </si>
  <si>
    <t>CHARGE ACT SOCIO-CULT.</t>
  </si>
  <si>
    <t>HAMOUS YASMINE</t>
  </si>
  <si>
    <t>SECRETAIRE ASSISTANT(E) N1</t>
  </si>
  <si>
    <t>MEKRABECH SAMIA NARDJES</t>
  </si>
  <si>
    <t>BELAID ABDELAZIZ</t>
  </si>
  <si>
    <t>TECHN TELECOM QLF</t>
  </si>
  <si>
    <t>BELLIL ABDELLAH</t>
  </si>
  <si>
    <t>BOUNOUAR MANSORIYA</t>
  </si>
  <si>
    <t>TECHN ELECTRICIEN PPL N2</t>
  </si>
  <si>
    <t>SADAT FATIMA</t>
  </si>
  <si>
    <t>MERABET DJAMILA</t>
  </si>
  <si>
    <t>CADRE COMPTABLE/FIN N3</t>
  </si>
  <si>
    <t>SERSAR HASSIBA</t>
  </si>
  <si>
    <t>ING PROCESS N2</t>
  </si>
  <si>
    <t>MILOUDI HAFSA</t>
  </si>
  <si>
    <t>BENTATA WAHIBA</t>
  </si>
  <si>
    <t>MIMOUN MOHAMED</t>
  </si>
  <si>
    <t>BELLOUNAR HANENE</t>
  </si>
  <si>
    <t>INSPECTEUR EQUIPEMENTS N4</t>
  </si>
  <si>
    <t xml:space="preserve"> MIA MEFTAH MEKHISSI</t>
  </si>
  <si>
    <t>CHEF SCT PLANNING N2</t>
  </si>
  <si>
    <t>HOSP</t>
  </si>
  <si>
    <t>BOUZIANI IMENE</t>
  </si>
  <si>
    <t>ING PROCESS N1</t>
  </si>
  <si>
    <t>MERNIZ MAWLOUD</t>
  </si>
  <si>
    <t>MERBAH MOHAMED AMINE</t>
  </si>
  <si>
    <t>ING CYBER SECURITE N1</t>
  </si>
  <si>
    <t>HADJ ABDELKRIM</t>
  </si>
  <si>
    <t>TECHN MECANICIEN N2</t>
  </si>
  <si>
    <t>AMARA ABDELHEQ</t>
  </si>
  <si>
    <t>BELKADI NAWEL</t>
  </si>
  <si>
    <t>GHOMARI YOUCEF</t>
  </si>
  <si>
    <t>CHEF SCT ELECT INDUS N2</t>
  </si>
  <si>
    <t>AT</t>
  </si>
  <si>
    <t>MOKEDDEM KHEIRA</t>
  </si>
  <si>
    <t>HOUAIDJ ABDELALI</t>
  </si>
  <si>
    <t>SAFA MOURAD</t>
  </si>
  <si>
    <t>ING INSTRUMENTATION N3</t>
  </si>
  <si>
    <t>GUEDDOUAH MOHAMED AMINE</t>
  </si>
  <si>
    <t>BERREHOU ABDELWAHAB DJACIM</t>
  </si>
  <si>
    <t>SADOK MANAR HIDAYET</t>
  </si>
  <si>
    <t>TECHNICIEN INSTRUMENTATION</t>
  </si>
  <si>
    <t>BENMAGHNIA OUSSAMA</t>
  </si>
  <si>
    <t>LOUZI ABDELKRIM</t>
  </si>
  <si>
    <t>C/MAITRE ELECTRICITE PPL N1</t>
  </si>
  <si>
    <t>BOUFERMA MEKADEM</t>
  </si>
  <si>
    <t>TOURABI MOHAMED ANISS</t>
  </si>
  <si>
    <t>CHEF SCT ANIMATION</t>
  </si>
  <si>
    <t>BENDERDOUCH ELHADJ-MOHAMMED</t>
  </si>
  <si>
    <t>TECHN EXPL POLYV PPL N2(DCS)</t>
  </si>
  <si>
    <t>BAKHTAOUI MOHAMED</t>
  </si>
  <si>
    <t>HACHEMI HOUSSEM</t>
  </si>
  <si>
    <t>ING MECANIQUE N1</t>
  </si>
  <si>
    <t xml:space="preserve"> HATTAB MOHAMMED EL YACINE</t>
  </si>
  <si>
    <t>BECETTI KHADIDJA</t>
  </si>
  <si>
    <t>LABDI AMEL</t>
  </si>
  <si>
    <t>HATIM FETHI</t>
  </si>
  <si>
    <t>TECHN INTERVENTION PPL N1</t>
  </si>
  <si>
    <t>GHEBGHOUB TAHAR</t>
  </si>
  <si>
    <t>CHENAFA BESSAFI</t>
  </si>
  <si>
    <t xml:space="preserve"> BENATTOU AMINE</t>
  </si>
  <si>
    <t>PREVENTION PPL N3</t>
  </si>
  <si>
    <t>LABBACI HOUSNY</t>
  </si>
  <si>
    <t xml:space="preserve"> HOUAIDJ ABDELALI</t>
  </si>
  <si>
    <t>BENDJEBARA NOURI</t>
  </si>
  <si>
    <t>AOUAICHIA KHADIDJA</t>
  </si>
  <si>
    <t>SECRETAIRE ASSISTANT(E) N3</t>
  </si>
  <si>
    <t>BOUGHARI MUSTAPHA</t>
  </si>
  <si>
    <t>BERRANI MADJHOUDA HANENE</t>
  </si>
  <si>
    <t>ADDA BOUAMAMA HANANE</t>
  </si>
  <si>
    <t>CADRE GESTION APPRO N1</t>
  </si>
  <si>
    <t>BOUZID NASREDDINE</t>
  </si>
  <si>
    <t>TIGHENIFINE MAHIEDDINE</t>
  </si>
  <si>
    <t>ASSIA HAMZA</t>
  </si>
  <si>
    <t>GANA HAMZA</t>
  </si>
  <si>
    <t xml:space="preserve"> KOUIDER NOURIA</t>
  </si>
  <si>
    <t xml:space="preserve"> MOKHTARI KATIA</t>
  </si>
  <si>
    <t>CADRE ETUDES RHU N1</t>
  </si>
  <si>
    <t>BENDIDI SEDDIK</t>
  </si>
  <si>
    <t>TECH ENVIRONNEMENT N4</t>
  </si>
  <si>
    <t>BELAS NOUR EL HOUDA</t>
  </si>
  <si>
    <t>CHARGE GESTION ADM N2</t>
  </si>
  <si>
    <t>BENYAHLOU OMAR</t>
  </si>
  <si>
    <t xml:space="preserve"> KOUIDER HAMZA</t>
  </si>
  <si>
    <t>BOUZIANE MEFLAH NASREDDINE</t>
  </si>
  <si>
    <t>CADRE ETUDES TECH N2 (MAINT)</t>
  </si>
  <si>
    <t>MERZOUGUI IMANE</t>
  </si>
  <si>
    <t>ING ELECTRICITE N1</t>
  </si>
  <si>
    <t>DJATOU MOHAMMED EL AMINE</t>
  </si>
  <si>
    <t>HADJIJ MEROUANE</t>
  </si>
  <si>
    <t>SUPERVISEUR QUART N1 (DCS)</t>
  </si>
  <si>
    <t>ESSELMA FETHI</t>
  </si>
  <si>
    <t xml:space="preserve"> ZAFRANE SOUAD</t>
  </si>
  <si>
    <t xml:space="preserve"> REFTAOUI YASMINE</t>
  </si>
  <si>
    <t>MEKKAOUYI RANIA</t>
  </si>
  <si>
    <t>CADRE PLANIFICATION N1</t>
  </si>
  <si>
    <t>DJILALI MERZOUG ISMA</t>
  </si>
  <si>
    <t>ING MECANIQUE N2</t>
  </si>
  <si>
    <t>CHENINE MOHAMED</t>
  </si>
  <si>
    <t>BELKHIRA LAKHDAR</t>
  </si>
  <si>
    <t>SELMA FATMA</t>
  </si>
  <si>
    <t>KORSO-FECIANE SAMIR</t>
  </si>
  <si>
    <t>ANALYSTE SYSTEME N3</t>
  </si>
  <si>
    <t>BENAMARA AMINA</t>
  </si>
  <si>
    <t>NOUBA MANAL</t>
  </si>
  <si>
    <t>CHEF SCE ORGANISATION</t>
  </si>
  <si>
    <t>ZEDIRI ALI</t>
  </si>
  <si>
    <t>ING PROCUREMENT N1 (ED)</t>
  </si>
  <si>
    <t>MEDHI OTHMANE</t>
  </si>
  <si>
    <t>OUNNAS DJILLALI</t>
  </si>
  <si>
    <t>CHEF DE QUART INTERVENTION PPL</t>
  </si>
  <si>
    <t>BOULARZEK DJELLOUL SAIAH MOSTAFA</t>
  </si>
  <si>
    <t>ING INSTRUMENTATION PPL</t>
  </si>
  <si>
    <t>BRAHMINE MERIEM</t>
  </si>
  <si>
    <t>CADRE COMPTABLE/FIN N2</t>
  </si>
  <si>
    <t>HIMER AMEL</t>
  </si>
  <si>
    <t>ASSISTANT ORGANISATION</t>
  </si>
  <si>
    <t>BERRAHO HOUARI</t>
  </si>
  <si>
    <t>CHEF SCE INTERVENTION N2</t>
  </si>
  <si>
    <t>BEZZINE MERIEM</t>
  </si>
  <si>
    <t>SECRETAIRE ASSISTANT(E) N2</t>
  </si>
  <si>
    <t>REDJEDAL ABDELKARIM</t>
  </si>
  <si>
    <t>ING MECANIQUE</t>
  </si>
  <si>
    <t>TECHN PREPARATION</t>
  </si>
  <si>
    <t>ABIDALLAH MOHAMED EL AMINE</t>
  </si>
  <si>
    <t>TOUATI REZKI</t>
  </si>
  <si>
    <t>MANSOURI CHAHINEZ</t>
  </si>
  <si>
    <t>MAZOUZI KHEIRA</t>
  </si>
  <si>
    <t>ZITOUNI BACHIR</t>
  </si>
  <si>
    <t>CHEF GROUPE SURETE INT N1</t>
  </si>
  <si>
    <t>BENCHEHIDA ABDEREZAK</t>
  </si>
  <si>
    <t>AZIL HABIB CHAWKI</t>
  </si>
  <si>
    <t xml:space="preserve"> ZITOUNI MOUNIET -NEFOUSS</t>
  </si>
  <si>
    <t>ADDA ELHACENE BENALI</t>
  </si>
  <si>
    <t>BEKOUCHE HAKIM</t>
  </si>
  <si>
    <t>MOKRANI ZAKARIA</t>
  </si>
  <si>
    <t>LARGAT EL HASSEN</t>
  </si>
  <si>
    <t>ING PROCESS N3</t>
  </si>
  <si>
    <t>02/06/2026</t>
  </si>
  <si>
    <t>31/05/2026</t>
  </si>
  <si>
    <t>14/06/2026</t>
  </si>
  <si>
    <t>15/06/2026</t>
  </si>
  <si>
    <t>21/05/2026</t>
  </si>
  <si>
    <t>04/06/2026</t>
  </si>
  <si>
    <t>05/06/2026</t>
  </si>
  <si>
    <t>01/06/2026</t>
  </si>
  <si>
    <t>30/06/2026</t>
  </si>
  <si>
    <t>01/07/2026</t>
  </si>
  <si>
    <t>23/05/2026</t>
  </si>
  <si>
    <t>08/06/2026</t>
  </si>
  <si>
    <t>09/06/2026</t>
  </si>
  <si>
    <t>3/05/2026</t>
  </si>
  <si>
    <t>11/06/2026</t>
  </si>
  <si>
    <t>10/06/2026</t>
  </si>
  <si>
    <t>12/06/2026</t>
  </si>
  <si>
    <t>INDEMNISE</t>
  </si>
  <si>
    <t xml:space="preserve"> BOUZIANE MEFLAH NASREDDINE</t>
  </si>
  <si>
    <t>25/05/026</t>
  </si>
  <si>
    <t>19/05/2026</t>
  </si>
  <si>
    <t>20/05/2026</t>
  </si>
  <si>
    <t>24/05/2026</t>
  </si>
  <si>
    <t>26/05/2026</t>
  </si>
  <si>
    <t>27/05/2026</t>
  </si>
  <si>
    <t>28/05/2026</t>
  </si>
  <si>
    <t>29/05/2026</t>
  </si>
  <si>
    <t>04/06/02026</t>
  </si>
  <si>
    <t xml:space="preserve"> MANSOURI CHAHINEZ</t>
  </si>
  <si>
    <t xml:space="preserve"> BENCHEHIDA ABDEREZAK</t>
  </si>
  <si>
    <t>Poste</t>
  </si>
  <si>
    <t>GESTIONNAIRE STOCKS N3</t>
  </si>
  <si>
    <t>CHEF SCT MAGASIN</t>
  </si>
  <si>
    <t>GESTIONNAIRE STOCKS PPL N1</t>
  </si>
  <si>
    <t>CHEF SCT MAINT INDUS N3</t>
  </si>
  <si>
    <t>CHEF MAGASINIER PPL</t>
  </si>
  <si>
    <t>CADRE GESTION APPRO PPL N2</t>
  </si>
  <si>
    <t>C/MAITRE INSTRUMENTATION PPL N1</t>
  </si>
  <si>
    <t>CADRE GESTION APPRO PPL N1</t>
  </si>
  <si>
    <t>CHEF MAGASINIER N2</t>
  </si>
  <si>
    <t>INFIRMIER (E) PPL N1</t>
  </si>
  <si>
    <t>CHEF SCE GESTION/PAIE PPL</t>
  </si>
  <si>
    <t>INFIRMIER(E) PPL N2</t>
  </si>
  <si>
    <t>CADRE GESTION ADM N1</t>
  </si>
  <si>
    <t>CADRE GESTION PAIE N1</t>
  </si>
  <si>
    <t>CHEF CENTRE MEDICO-SOC. N3</t>
  </si>
  <si>
    <t>CHEF SCT PAIE N1</t>
  </si>
  <si>
    <t>ASSISTANT (E) SOCIAL(E)PPL N1</t>
  </si>
  <si>
    <t>CHARGE ACT SOCIO-CULT. N2</t>
  </si>
  <si>
    <t>CHEF CENTRE MEDICO-SOC. N1</t>
  </si>
  <si>
    <t>CHEF SCT GESTION ADM N1</t>
  </si>
  <si>
    <t>ING MANAGEMENT QUALITE N1</t>
  </si>
  <si>
    <t>CHEF SCE MANAGEMENT INTEGRE</t>
  </si>
  <si>
    <t>CHARGE ETUDES DOC N3</t>
  </si>
  <si>
    <t>CHEF SCT CENTRALISATION N2</t>
  </si>
  <si>
    <t>CHEF SCE TRESORERIE N3</t>
  </si>
  <si>
    <t>CHEF SCE FISCALITE &amp; ASSURANCE</t>
  </si>
  <si>
    <t>COMPTABLE CONTROLEUR</t>
  </si>
  <si>
    <t>COMPTABLE PPL EN CHEF N2</t>
  </si>
  <si>
    <t>CHEF SCT FOURNISSEURS N2</t>
  </si>
  <si>
    <t>CHEF SCE COMPT GENERALE N2</t>
  </si>
  <si>
    <t>CHEF SCT MOYEN/REGLEMENT</t>
  </si>
  <si>
    <t>CHEF SCE COMPT ANALYTIQUE N2</t>
  </si>
  <si>
    <t>CADRE COMPTABLE/FIN PPL</t>
  </si>
  <si>
    <t>CHEF SCT COMPTABILITE N1</t>
  </si>
  <si>
    <t>CHEF SCT FLUX</t>
  </si>
  <si>
    <t>COMPTABLE N3</t>
  </si>
  <si>
    <t>COMPTABLE N1</t>
  </si>
  <si>
    <t>TECHN INTERVENTION CFM</t>
  </si>
  <si>
    <t>INSPECTEUR PREVENTION PPL N3</t>
  </si>
  <si>
    <t>CHEF SCE ENVIRONNEMENT LRP</t>
  </si>
  <si>
    <t>CHEF SCE PREVENTION N2</t>
  </si>
  <si>
    <t>CHEF SCT INSPECT/CONTR?LE N2</t>
  </si>
  <si>
    <t>INSPECTEUR PREVENTION PPL N2</t>
  </si>
  <si>
    <t>CHEF SCT INTERVENTION N3</t>
  </si>
  <si>
    <t>ING SECURITE N3</t>
  </si>
  <si>
    <t xml:space="preserve">CHEF SCT EQUIPEMENTS </t>
  </si>
  <si>
    <t>ING ELECTRICITE N2</t>
  </si>
  <si>
    <t>ING INSPECTION EQPT N2</t>
  </si>
  <si>
    <t>ING CORROSION N1</t>
  </si>
  <si>
    <t>CHEF SCE INSPECTION TECH N2</t>
  </si>
  <si>
    <t>ING INSPECTION EQPT N1</t>
  </si>
  <si>
    <t>CADRE ETUDES TECH N3 (TRANSF</t>
  </si>
  <si>
    <t>ING INSPECTION EQPT N3</t>
  </si>
  <si>
    <t>CHEF SEC INSPECTION TECH N2</t>
  </si>
  <si>
    <t>CHEF SCE CONTENT &amp; ASSURANCES</t>
  </si>
  <si>
    <t>CADRE JURIDIQUE N1</t>
  </si>
  <si>
    <t>CHEF SCE CONTRAT &amp; MARCHES</t>
  </si>
  <si>
    <t>CADRE JURIDIQUE PPL</t>
  </si>
  <si>
    <t>JURISTE CONSEIL N2</t>
  </si>
  <si>
    <t>CHEF SCT PREPARATION N2</t>
  </si>
  <si>
    <t>CHEF SCE ELECT INDUS N2</t>
  </si>
  <si>
    <t>C/MAITRE MECANIQUE</t>
  </si>
  <si>
    <t>CHEF SCT MECANIQUE INDUS N2</t>
  </si>
  <si>
    <t>CHEF SCT INSTRUMENTATION N2</t>
  </si>
  <si>
    <t>C/MAITRE MECANIQUE PPL N1</t>
  </si>
  <si>
    <t>CHEF SCT PREPAR ARRET PROG BNL/GPL</t>
  </si>
  <si>
    <t>C/MAITRE INSTRUMENTATION N2</t>
  </si>
  <si>
    <t>CHEF SCT MECANIQUE INDUS N3</t>
  </si>
  <si>
    <t>CHEF SCT MAINT INDUS N2</t>
  </si>
  <si>
    <t>CHEF SCE MAINTENANCE N2</t>
  </si>
  <si>
    <t>ING PLANNING N2 (S/REAL)</t>
  </si>
  <si>
    <t>CHEF SCT COORD PERMIS TRAV</t>
  </si>
  <si>
    <t>CHEF SCE INSTRUMENTATION N3</t>
  </si>
  <si>
    <t>COORDONNATEUR ZONE N2</t>
  </si>
  <si>
    <t>INSPECTEUR EQUIPEMENTS PPL</t>
  </si>
  <si>
    <t>ING INSTRUMENTATION N2</t>
  </si>
  <si>
    <t>TECHN MECANICIEN QLF</t>
  </si>
  <si>
    <t>CHEF SCT MECANIQUE INDUS N1</t>
  </si>
  <si>
    <t>CHARGE GESTION APPRO N1</t>
  </si>
  <si>
    <t>TUYAUTEUR SOUDEUR N1</t>
  </si>
  <si>
    <t>CHEF SCT STATISTIQUES N1</t>
  </si>
  <si>
    <t>CHEF SCE MECANIQUE INDUS N2</t>
  </si>
  <si>
    <t>TUYAUTEUR SOUDEUR N2</t>
  </si>
  <si>
    <t>CADRE ETUDES TECH N3 (MAINT)</t>
  </si>
  <si>
    <t>ING ELECTRICITE N3</t>
  </si>
  <si>
    <t>TECHN INSTRUMENTISTE CFM</t>
  </si>
  <si>
    <t>CHEF SCE PLANNING/METHOD N2</t>
  </si>
  <si>
    <t>INGENIEUR ELECTRICITE  N1</t>
  </si>
  <si>
    <t>ING ELECTRICITE PPL</t>
  </si>
  <si>
    <t>CHEF SCT COORDINATION N2</t>
  </si>
  <si>
    <t>AGENT BUREAU D'ORDRE PPL</t>
  </si>
  <si>
    <t>CHEF SCE MOG/SOUS TRAITANCE</t>
  </si>
  <si>
    <t>CHEF SCT BOG</t>
  </si>
  <si>
    <t>CHARGE GEST SCES GENERX N3</t>
  </si>
  <si>
    <t>CADRE GEST SCES GENERAUX N1</t>
  </si>
  <si>
    <t>CADRE GEST SCES GENERAUX PPL N1</t>
  </si>
  <si>
    <t>CHEF DE QUART PPL (DCS)</t>
  </si>
  <si>
    <t>SUPERVISEUR QUART PPL (DCS)</t>
  </si>
  <si>
    <t>CHEF SCE STOCK/EXPED N2</t>
  </si>
  <si>
    <t>PLANIFICATEUR N3</t>
  </si>
  <si>
    <t>CHEF SCE UTILITES</t>
  </si>
  <si>
    <t>SUPERVISEUR QUART N2 (DCS)</t>
  </si>
  <si>
    <t>CADRE ETUDES TECH N1 (TRANSF)</t>
  </si>
  <si>
    <t>ING PROCESS N4</t>
  </si>
  <si>
    <t>CHEF SCE FORMATION N2</t>
  </si>
  <si>
    <t>CHARGE ETUDES RHU N3</t>
  </si>
  <si>
    <t>CHEF SCE TRAVAUX N2</t>
  </si>
  <si>
    <t>CADRE ETUDES TECH N1 (S/REAL)</t>
  </si>
  <si>
    <t>SECRETAIRE ASSISTANT(E) N4</t>
  </si>
  <si>
    <t>ING MECANIQUE PPL</t>
  </si>
  <si>
    <t>TECHN GENIE CIVIL PPL N2</t>
  </si>
  <si>
    <t>CHEF SCE RELATION INDUS N2</t>
  </si>
  <si>
    <t>PLANIFICATEUR PPL</t>
  </si>
  <si>
    <t>TECHN ENTRETIEN ORDINAT N2</t>
  </si>
  <si>
    <t>ING GENIE CIVIL PPL (ED)</t>
  </si>
  <si>
    <t>CHEF QUART LABO PEC N3</t>
  </si>
  <si>
    <t>ING CHIMIE N3</t>
  </si>
  <si>
    <t>ANALYSTE GEST.DOC EN CHEF</t>
  </si>
  <si>
    <t>ING CHIMIE N2</t>
  </si>
  <si>
    <t>CHEF SCE ETUDES / DEV</t>
  </si>
  <si>
    <t>ING SYSTEMES N1</t>
  </si>
  <si>
    <t>CADRE ETUDES TECH N2 (TRANSF</t>
  </si>
  <si>
    <t>ING INSTRUMENTATION N4</t>
  </si>
  <si>
    <t>NOT FOUND</t>
  </si>
  <si>
    <t>ABSENCE CONTRÔLE MEDICAL CNAS</t>
  </si>
  <si>
    <t>CHEROUATI HAFSA</t>
  </si>
  <si>
    <t>MAHROUR FAYROUZ</t>
  </si>
  <si>
    <t>OUADHI ISMA</t>
  </si>
  <si>
    <t>NIMOUR NOURA</t>
  </si>
  <si>
    <t>BOUGHERARA SOUHILA</t>
  </si>
  <si>
    <t>GHABBI KHEIRA</t>
  </si>
  <si>
    <t>SAADI LAHOUARIA</t>
  </si>
  <si>
    <t>AOUMEUR NABILA</t>
  </si>
  <si>
    <t>ABBOUN ABID AHLEM</t>
  </si>
  <si>
    <t>BELLI NOURHANE</t>
  </si>
  <si>
    <t>SAFER MERIEM</t>
  </si>
  <si>
    <t>BOUALGA FADIA</t>
  </si>
  <si>
    <t>LIMAM ASSIA</t>
  </si>
  <si>
    <t>BAROUDI SOUHILA</t>
  </si>
  <si>
    <t>BELAOUEDJ HASSIBA</t>
  </si>
  <si>
    <t>BESSAID BOUCHRA SARAH</t>
  </si>
  <si>
    <t>REFTAOUI YASMINE</t>
  </si>
  <si>
    <t>MEKKAOUI RANIA</t>
  </si>
  <si>
    <t>CHAKER IKRAM</t>
  </si>
  <si>
    <t>BENYAHIA AMINA</t>
  </si>
  <si>
    <t>BERRADIA AMEL</t>
  </si>
  <si>
    <t>GAAD ANISSA</t>
  </si>
  <si>
    <t>ARABECHE BOCHRA</t>
  </si>
  <si>
    <t>ANBRI FATIMA ZOHRA</t>
  </si>
  <si>
    <t>BELHACHEMI NARIMENE</t>
  </si>
  <si>
    <t>BELHADJ MEROUA</t>
  </si>
  <si>
    <t>BENTAHAR SELMA NIHAD</t>
  </si>
  <si>
    <t>BOUHADDA HASSIBA</t>
  </si>
  <si>
    <t>CHABANE BOUCHRA</t>
  </si>
  <si>
    <t>ZEDDAM MARWA AICHA</t>
  </si>
  <si>
    <t>ZAHI SIHEM</t>
  </si>
  <si>
    <t>DJEBBAR FATIMA ZOHRA CHAHINEZ</t>
  </si>
  <si>
    <t>SOUABER IKRAM</t>
  </si>
  <si>
    <t>SALHAOUI FATIMA ZOHRA</t>
  </si>
  <si>
    <t>OSMANE RANIA</t>
  </si>
  <si>
    <t>HAMIDI BOUTHAINA FATIMA ZOHRA</t>
  </si>
  <si>
    <t>MANSOURI FATIMA ZOHRA</t>
  </si>
  <si>
    <t>CHERIGUI NEDJMAA</t>
  </si>
  <si>
    <t>BOURI FATIMA</t>
  </si>
  <si>
    <t>SEBAA HADJER</t>
  </si>
  <si>
    <t>BENAYAD ANFEL</t>
  </si>
  <si>
    <t>SABRI SARA</t>
  </si>
  <si>
    <t>DJEMAOUI KAWTHER</t>
  </si>
  <si>
    <t>BENCHEIKH YASMINA</t>
  </si>
  <si>
    <t>BOUMOUNGAR NOUR EL HOUDA</t>
  </si>
  <si>
    <t>BENABBAS HIBAT ERRAHMENE HAMIDA</t>
  </si>
  <si>
    <t>KHEMACHI TASNIME FATIMA</t>
  </si>
  <si>
    <t>SABEUR SARA</t>
  </si>
  <si>
    <t>DJEZAR FATIMA ZOHRA</t>
  </si>
  <si>
    <t>KHALED NADJAH MALAK</t>
  </si>
  <si>
    <t>AICHE HAYET</t>
  </si>
  <si>
    <t>ZIDI MALIKA AICHA</t>
  </si>
  <si>
    <t>BERKANE HOURIA</t>
  </si>
  <si>
    <t>BOUKHARI NOR EL HOUDA</t>
  </si>
  <si>
    <t>CHOHRA KAWTHER</t>
  </si>
  <si>
    <t>DERMECHE SARRA</t>
  </si>
  <si>
    <t>REDJIMI KAWTHER</t>
  </si>
  <si>
    <t>TAHAR BELKRATEUR RANIA NOUR EL HOU</t>
  </si>
  <si>
    <t>BOUFELDJA BOUCHRA</t>
  </si>
  <si>
    <t>TADJEDDINE IKRAM</t>
  </si>
  <si>
    <t>BENMIMOUNE WAFAA</t>
  </si>
  <si>
    <t>GACEM KHEIRA</t>
  </si>
  <si>
    <t>BATOUCHE CHAIMAA</t>
  </si>
  <si>
    <t>FELLAH YAMINA</t>
  </si>
  <si>
    <t>BENATTA FERIEL</t>
  </si>
  <si>
    <t>BELAMEIRI ASMAA</t>
  </si>
  <si>
    <t>BENLABBAS AICHA</t>
  </si>
  <si>
    <t>KADRI OUAHIBA</t>
  </si>
  <si>
    <t>BEKAI IMENE</t>
  </si>
  <si>
    <t>BENDELLAA RAMILA CHAHINEZ</t>
  </si>
  <si>
    <t>BAKHTI ASMAHAN</t>
  </si>
  <si>
    <t>CHERFAOUI SALIMA</t>
  </si>
  <si>
    <t>BOUNOUIGA OUERDIA</t>
  </si>
  <si>
    <t>KADDOUR SOUAD</t>
  </si>
  <si>
    <t>DJENANE LEILA</t>
  </si>
  <si>
    <t>CERRA CHERRAKA FAIZA</t>
  </si>
  <si>
    <t>BELDJOUHER MAROUA</t>
  </si>
  <si>
    <t>AKEB-DAOUD YAMNA</t>
  </si>
  <si>
    <t>ABBACI LINA</t>
  </si>
  <si>
    <t>SEMAOUN AMEL</t>
  </si>
  <si>
    <t>AMIRI AYA</t>
  </si>
  <si>
    <t>BEDDIAF YASMINE</t>
  </si>
  <si>
    <t>LATTAB SAMIRA</t>
  </si>
  <si>
    <t>BERRIAH SIHAM</t>
  </si>
  <si>
    <t>CHEMLOUL FARAH</t>
  </si>
  <si>
    <t>IKHLEF AMINA</t>
  </si>
  <si>
    <t>Mme TOUATI AHLEM</t>
  </si>
  <si>
    <t>NOM ET PRENOM 2</t>
  </si>
  <si>
    <t>ABID HADJ</t>
  </si>
  <si>
    <t>BOUMEDMED AISSA</t>
  </si>
  <si>
    <t>ANBERI MOHAMED</t>
  </si>
  <si>
    <t>BENDENIA MOHAMMED EL AMINE</t>
  </si>
  <si>
    <t>DJALTI AHMED</t>
  </si>
  <si>
    <t>ZOUGGAR BRAHIM</t>
  </si>
  <si>
    <t>TAHIDOUSTI MOHAMED</t>
  </si>
  <si>
    <t>BENHADJELA NABIL</t>
  </si>
  <si>
    <t>BENGUERMIA ABDERRAHMANE</t>
  </si>
  <si>
    <t>MOKHTARI ABDELKADER</t>
  </si>
  <si>
    <t>LASTAL WALID</t>
  </si>
  <si>
    <t>MEKRI ABDELKRIM</t>
  </si>
  <si>
    <t>BENDAHO ABDELKADER</t>
  </si>
  <si>
    <t>FEGHOUL MOHAMED EL AMINE</t>
  </si>
  <si>
    <t>HASNAOUI AHMED</t>
  </si>
  <si>
    <t>REHAB HOUARI</t>
  </si>
  <si>
    <t>AISSAOUI MOHAMED</t>
  </si>
  <si>
    <t>MRIZIGUI AHMED</t>
  </si>
  <si>
    <t>MELOUKA SOFIANE</t>
  </si>
  <si>
    <t>BELGHARBI ABDELKADER</t>
  </si>
  <si>
    <t>CHERGUI MOHAMMED NASREDDINE</t>
  </si>
  <si>
    <t>MISRATI SOFIANE</t>
  </si>
  <si>
    <t>BOUFELDJA MOHAMMED</t>
  </si>
  <si>
    <t>MIMOUN ABDELHAMID</t>
  </si>
  <si>
    <t>CHABI MOHAMED IHAB</t>
  </si>
  <si>
    <t>DIDA ADEL</t>
  </si>
  <si>
    <t>MIDOUN ELAMINE</t>
  </si>
  <si>
    <t>TIMZI FOUAD</t>
  </si>
  <si>
    <t>MILOUD MOHAMMED EL AMINE</t>
  </si>
  <si>
    <t>GHALEM ABDELKARIM</t>
  </si>
  <si>
    <t>ZORKANI MOHAMED FETH ALLAH</t>
  </si>
  <si>
    <t>CHAIB DRAA TANI MOHAMED MEHDI</t>
  </si>
  <si>
    <t>AIT EMRAR RACHID</t>
  </si>
  <si>
    <t>BELARBI KHEIR EDDINE</t>
  </si>
  <si>
    <t>GASMI MOHAMMED</t>
  </si>
  <si>
    <t>CHIB MOHAMED RIAD</t>
  </si>
  <si>
    <t>BENHENNI LAHCENE</t>
  </si>
  <si>
    <t>GHALEM ABDERRAHIM</t>
  </si>
  <si>
    <t>CHANANE MOHAMED</t>
  </si>
  <si>
    <t>BENZIDANE MOHAMED</t>
  </si>
  <si>
    <t>BENSALEM MOHAMED</t>
  </si>
  <si>
    <t>BELKACEM MUSTAPHA AMINE</t>
  </si>
  <si>
    <t>BENATTOU AMINE</t>
  </si>
  <si>
    <t>HANTIT ABDERRAHMANE</t>
  </si>
  <si>
    <t>SAIAD KARIM</t>
  </si>
  <si>
    <t>BOUZID EL MEHDI</t>
  </si>
  <si>
    <t>RARBI OMAR</t>
  </si>
  <si>
    <t>BERRACHED MOHAMED AMINE</t>
  </si>
  <si>
    <t>BENAHMED ABDELKADER AMINE</t>
  </si>
  <si>
    <t>EL HADRI MOURAD</t>
  </si>
  <si>
    <t>ZERGUIT SOFIANE</t>
  </si>
  <si>
    <t>AZAZ DJALLAL</t>
  </si>
  <si>
    <t>AMEUR KHALID</t>
  </si>
  <si>
    <t>BELHAYARA MOHAMMED ILYES</t>
  </si>
  <si>
    <t>BELOUAHRANI MOHAMMED EL AMINE</t>
  </si>
  <si>
    <t>BENSAFIR MOHAMMED ALLAA EDDINE</t>
  </si>
  <si>
    <t>CHAREF AISSA DJILALI</t>
  </si>
  <si>
    <t>HATTAB MOHAMMED EL YACINE</t>
  </si>
  <si>
    <t>MELIANI MOHAMMED</t>
  </si>
  <si>
    <t>SABEUR CHOUIREF DJILLALI</t>
  </si>
  <si>
    <t>TABAS DJILALI</t>
  </si>
  <si>
    <t>TEDJINI MOHAMED MEHDI</t>
  </si>
  <si>
    <t>KHOUALEF DJIHED</t>
  </si>
  <si>
    <t>GUENNAZ YACINE</t>
  </si>
  <si>
    <t>LAROUSSI SID AHMED AMINE</t>
  </si>
  <si>
    <t>LAADJEL SOUFIANE</t>
  </si>
  <si>
    <t>REZMA MOHAMED AMINE</t>
  </si>
  <si>
    <t>SAADAOUI REDOUANE</t>
  </si>
  <si>
    <t>AOUF ABDELLATIF</t>
  </si>
  <si>
    <t>BENAHMED MOHAMMED EL AMINE</t>
  </si>
  <si>
    <t>DADI NADIR</t>
  </si>
  <si>
    <t>MOUFFOKI BENOUMEUR</t>
  </si>
  <si>
    <t>ALLAL ISMAIL</t>
  </si>
  <si>
    <t>BOUSSEROUEL ABDELLAH</t>
  </si>
  <si>
    <t>SIDI YACOUB NASREDDINE</t>
  </si>
  <si>
    <t>MOUAHDI ABDALLAH</t>
  </si>
  <si>
    <t>SAADOU HOUARI</t>
  </si>
  <si>
    <t>TAHRI BOUALEM</t>
  </si>
  <si>
    <t>KAID KAMEL MOHAMED</t>
  </si>
  <si>
    <t>MAHI ABDELKADER</t>
  </si>
  <si>
    <t>KACEM NOUREDDINE</t>
  </si>
  <si>
    <t>ALI BELHADJ NAIM ABD UL ADIM</t>
  </si>
  <si>
    <t>TEMMAR NABIL</t>
  </si>
  <si>
    <t>MEGHERBI WALID</t>
  </si>
  <si>
    <t>BELFATMI ABOUBAKR SEDDIK</t>
  </si>
  <si>
    <t>FATAH AHMED</t>
  </si>
  <si>
    <t>ZENATA BENALI</t>
  </si>
  <si>
    <t>BENMAROUF WAIL ABDERRAHMANE</t>
  </si>
  <si>
    <t>AMMARI MOHAMMED</t>
  </si>
  <si>
    <t>BENICHOU ALI ISSAM EDDINE</t>
  </si>
  <si>
    <t>GOMERI AHMED</t>
  </si>
  <si>
    <t>KOUDRI ABDELHAMID</t>
  </si>
  <si>
    <t>HANNI TOUFIK</t>
  </si>
  <si>
    <t>MOUMENE ABDALLAH</t>
  </si>
  <si>
    <t>RAIS ALI SALAH EDDINE</t>
  </si>
  <si>
    <t>BENOUIS MOHAMMED AMINE</t>
  </si>
  <si>
    <t>ZINA RACHED ABDELKRIM</t>
  </si>
  <si>
    <t>BAYOUR ABDELKADER</t>
  </si>
  <si>
    <t>BELHADJ HACEN MOHAMED AMINE</t>
  </si>
  <si>
    <t>ADJLOUT AKRAM</t>
  </si>
  <si>
    <t>BENMOHAMMED MOHAMMED SOFIANE</t>
  </si>
  <si>
    <t>OULD-BOUAZZA MOHAMMED AZZEDDINE</t>
  </si>
  <si>
    <t>HAIMOUR RACHID</t>
  </si>
  <si>
    <t>KACEM MOHAMMED</t>
  </si>
  <si>
    <t>BENMESSAOUD ABDELKADER</t>
  </si>
  <si>
    <t>BOUANANI ABDELHALIM</t>
  </si>
  <si>
    <t>BENZINA MOHAMED ESSEDIK</t>
  </si>
  <si>
    <t>KARA ACHIRA FOUAD SODKI</t>
  </si>
  <si>
    <t>CHERGUI MOKHTAR</t>
  </si>
  <si>
    <t>BENOUIS MAHMOUD</t>
  </si>
  <si>
    <t>ROUABHI AHMED ILIAS</t>
  </si>
  <si>
    <t>TALEB FOUAD</t>
  </si>
  <si>
    <t>BEZZEGHOUD MOHAMMED ABDELKRIM</t>
  </si>
  <si>
    <t>KAHIL ABDELMALEK</t>
  </si>
  <si>
    <t>BEKRATTOU MUSTAPHA</t>
  </si>
  <si>
    <t>MALKI MOHAMMED REDA</t>
  </si>
  <si>
    <t>SEDDIK AHMED</t>
  </si>
  <si>
    <t>RIDOUH FETHI</t>
  </si>
  <si>
    <t>SAID KHALID</t>
  </si>
  <si>
    <t>KOIBICH MOHAMED AMINE</t>
  </si>
  <si>
    <t>KIHAL ABDENNOUR</t>
  </si>
  <si>
    <t>FERHAOUI MOHAMED YACINE</t>
  </si>
  <si>
    <t>HASSAINE ABDELKADER</t>
  </si>
  <si>
    <t>HAMADA KHAYREDDINE</t>
  </si>
  <si>
    <t>RAHOU RACHID</t>
  </si>
  <si>
    <t>CHABOUNI NOUREDDINE</t>
  </si>
  <si>
    <t>ABDELDJOUD NESREDDINE</t>
  </si>
  <si>
    <t>LALDJI YOUCEF</t>
  </si>
  <si>
    <t>DRIA MOHAMMED AMINE</t>
  </si>
  <si>
    <t>BELALEM MOHAMED EL AMINE RIDHA</t>
  </si>
  <si>
    <t>AISSA MOURAD</t>
  </si>
  <si>
    <t>TOUALBIA MOHAMMED</t>
  </si>
  <si>
    <t>TAYEB CHERIF KARIM</t>
  </si>
  <si>
    <t>DJENDIR HICHAM</t>
  </si>
  <si>
    <t>BOUKHARI DJAMEL EDDINE</t>
  </si>
  <si>
    <t>HAMDANI YOUCEF</t>
  </si>
  <si>
    <t>BOUABDALLAH YACINE</t>
  </si>
  <si>
    <t>BENHAOUZI SIDI MOHAMMED ELMOUSSADEK</t>
  </si>
  <si>
    <t>GHAZI AHMED</t>
  </si>
  <si>
    <t>BENILHA YOUCEF</t>
  </si>
  <si>
    <t>ELASSAD-ZEMALLACH-OUARRI ALI CHERIF</t>
  </si>
  <si>
    <t>BELABBACI MOHAMMED EL AMIN</t>
  </si>
  <si>
    <t>MIMOUN OMAR</t>
  </si>
  <si>
    <t>RAZLI ABDELGHANI</t>
  </si>
  <si>
    <t>KADARI LARBI</t>
  </si>
  <si>
    <t>MIA MEFTAH MEKHISSI</t>
  </si>
  <si>
    <t>BOUDJELLAL KHALED</t>
  </si>
  <si>
    <t>DJILALI SAIAH HANI</t>
  </si>
  <si>
    <t>BADSI YOUCEF</t>
  </si>
  <si>
    <t>BENARMAS BERKANE</t>
  </si>
  <si>
    <t>BOUMEDINE MOKHTAR</t>
  </si>
  <si>
    <t>CHABANE MOHAMED</t>
  </si>
  <si>
    <t>MALKI TAYEB</t>
  </si>
  <si>
    <t>BENAISSA MOHAMED EL AMINE</t>
  </si>
  <si>
    <t>SABRI BAGHDADI</t>
  </si>
  <si>
    <t>BAGHDADI MOHAMMED AMINE</t>
  </si>
  <si>
    <t>BEKKAYE MOHAMMED EL AMINE</t>
  </si>
  <si>
    <t>BELHADJ MOSTEFA</t>
  </si>
  <si>
    <t>BEN AHMED YACINE</t>
  </si>
  <si>
    <t>BENHAOUA BENYEKHLEF FAYCAL</t>
  </si>
  <si>
    <t>BOUTICHE ZAKARIA</t>
  </si>
  <si>
    <t>DJILALI NOUR EDDINE</t>
  </si>
  <si>
    <t>FEGHOUL BELKACEM</t>
  </si>
  <si>
    <t>KADDAR BOUMEDIENE</t>
  </si>
  <si>
    <t>KERMEZLI ABDALLAH</t>
  </si>
  <si>
    <t>KHALIF SOFIANE</t>
  </si>
  <si>
    <t>MOKRANE DJELLOUL</t>
  </si>
  <si>
    <t>MOSTEFAI HOUARI</t>
  </si>
  <si>
    <t>SALAA ABDELHAK</t>
  </si>
  <si>
    <t>SLAMA MOHAMED ELAID HABIB ALLAH</t>
  </si>
  <si>
    <t>SLIMI HAKIM</t>
  </si>
  <si>
    <t>SMIR MOHAMED- LAMINE</t>
  </si>
  <si>
    <t>MENADI AMOUR</t>
  </si>
  <si>
    <t>CHEIKH AHMED EL AMINE</t>
  </si>
  <si>
    <t>GHEBACHE BELKACEM</t>
  </si>
  <si>
    <t>AMMOUR YACINE</t>
  </si>
  <si>
    <t>HASNAOUI MOHAMMED NASREDDINE</t>
  </si>
  <si>
    <t>MEKHLOUF MOHAMED</t>
  </si>
  <si>
    <t>CHIHEB YAHIA MOHAMED</t>
  </si>
  <si>
    <t>BEDDOUR SID AHMED</t>
  </si>
  <si>
    <t>ABDELBAKI MOHAMED</t>
  </si>
  <si>
    <t>BENHADRIA RAFIK</t>
  </si>
  <si>
    <t>GUITTANE SADDAM HOCINE</t>
  </si>
  <si>
    <t>TOUER HAMZA</t>
  </si>
  <si>
    <t>YAYAOUI FETHI</t>
  </si>
  <si>
    <t>CHAYAH BACHIR</t>
  </si>
  <si>
    <t>MEDDAH MOHAMMED ESSEDDIK</t>
  </si>
  <si>
    <t>BENHAMED ABDELKADER</t>
  </si>
  <si>
    <t>BENSALAH BAROUDI</t>
  </si>
  <si>
    <t>FERNINI FARID</t>
  </si>
  <si>
    <t>DERROUICH KARIM</t>
  </si>
  <si>
    <t>AOURAI ABDELKARIM</t>
  </si>
  <si>
    <t>ARACI OUSSAMA MAHIEDDINE</t>
  </si>
  <si>
    <t>BERNAOUI MOHAMMED DJAMEL EDDINE</t>
  </si>
  <si>
    <t>BOUHAMIDI DJAMEL EDDINE</t>
  </si>
  <si>
    <t>BOUKRAA DJELLOUL</t>
  </si>
  <si>
    <t>CHEMLEL MADJDOUB</t>
  </si>
  <si>
    <t>CHOHRA KHALED</t>
  </si>
  <si>
    <t>EL MOUSSAOUI AHMED</t>
  </si>
  <si>
    <t>HADJOUTI ABDENOUR</t>
  </si>
  <si>
    <t>HAMAMCHA ABDERRAOUF</t>
  </si>
  <si>
    <t>LAIDOUNI YOUCEF</t>
  </si>
  <si>
    <t>MAZIZ BACHIR</t>
  </si>
  <si>
    <t>MOUNA AMAR</t>
  </si>
  <si>
    <t>OUADJENIA KADA</t>
  </si>
  <si>
    <t>SLIMANI ABDELHAMID</t>
  </si>
  <si>
    <t>YASSIN BENYABKA</t>
  </si>
  <si>
    <t>ZERHOUNI NABIL</t>
  </si>
  <si>
    <t>NOUAR RAOUF</t>
  </si>
  <si>
    <t>SEBA HALFAOUI</t>
  </si>
  <si>
    <t>BENZAIR MOHAMED ABDELHAMID</t>
  </si>
  <si>
    <t>BOURENDJA BENDAOUD</t>
  </si>
  <si>
    <t>SOUIER ABDELHAKIM</t>
  </si>
  <si>
    <t>BENABDALLAH NOUR EDDINE</t>
  </si>
  <si>
    <t>CHIKHI MOHAMED AMINE</t>
  </si>
  <si>
    <t>MOKHTARI REDA ADEL</t>
  </si>
  <si>
    <t>BERKATE ALI</t>
  </si>
  <si>
    <t>CHABANE MAHFOUD</t>
  </si>
  <si>
    <t>ZORKANI MOHAMED</t>
  </si>
  <si>
    <t>MEGHICHE ABBES</t>
  </si>
  <si>
    <t>RESFA NACERI BOUMEDIENE</t>
  </si>
  <si>
    <t>TADJMOUT ABDELKADER</t>
  </si>
  <si>
    <t>REZGANI REDDA MOURAD</t>
  </si>
  <si>
    <t>KATEB ELHACHEMI AMAR MOHAMED</t>
  </si>
  <si>
    <t>BOUHARICHE NASREDDINE</t>
  </si>
  <si>
    <t>BOUCEKINE MOHAMMED</t>
  </si>
  <si>
    <t>ALLAOUI YAHIA</t>
  </si>
  <si>
    <t>BELALIA MOHAMED</t>
  </si>
  <si>
    <t>SADEK DJAMEL</t>
  </si>
  <si>
    <t>BENDELHOUM MOHAMED</t>
  </si>
  <si>
    <t>BENATANACH MOHAMED</t>
  </si>
  <si>
    <t>HADJ MOHAMMED NOUBA</t>
  </si>
  <si>
    <t>DJAFRI NOUREDDINE</t>
  </si>
  <si>
    <t>BENOUARETH BEKKA</t>
  </si>
  <si>
    <t>ACHEHAT MUSTAPHA</t>
  </si>
  <si>
    <t>DJAMAA MOHAMED BACHIR</t>
  </si>
  <si>
    <t>BRIKCI SID ABDELHAK</t>
  </si>
  <si>
    <t>MARCHOUD HOUARI</t>
  </si>
  <si>
    <t>HAMANI NORDINE</t>
  </si>
  <si>
    <t>RAHOU HABIB BADREDDINE</t>
  </si>
  <si>
    <t>BOUZI MOHAMMED AMINE</t>
  </si>
  <si>
    <t>MESSAOUDI MEROUAN</t>
  </si>
  <si>
    <t>GUERRAOUI MOHAMMED AMINE</t>
  </si>
  <si>
    <t>GHEDDAR ABDELKADER</t>
  </si>
  <si>
    <t>LAZREUG MEJDOUB</t>
  </si>
  <si>
    <t>CHIKHI LOUNES</t>
  </si>
  <si>
    <t>BELAL AYMENE</t>
  </si>
  <si>
    <t>DJAZIRI ZOHEIR</t>
  </si>
  <si>
    <t>OUAHRANI AYMENE</t>
  </si>
  <si>
    <t>BOUHAIK BRAHIM</t>
  </si>
  <si>
    <t>BOUMEDIENE LAKHDAR</t>
  </si>
  <si>
    <t>SENOUCI MOHAMMED EL AMINE</t>
  </si>
  <si>
    <t>ABBES YAHIA ABDELBAKI</t>
  </si>
  <si>
    <t>ANCER AHMED</t>
  </si>
  <si>
    <t>BOUHARAOUA YOUNES</t>
  </si>
  <si>
    <t>YESSAD ABDELMALIK</t>
  </si>
  <si>
    <t>BENSALAH SOFIANE</t>
  </si>
  <si>
    <t>TAHAR IMAD EDDINE</t>
  </si>
  <si>
    <t>LASHEB FAROUK ABDELDJALIL LAHOUARI</t>
  </si>
  <si>
    <t>KALLOUCH NEDJM EDDINE-RAMZI</t>
  </si>
  <si>
    <t>TAHRAOUI SAIF-EDDINE</t>
  </si>
  <si>
    <t>BENYAMINA WAIL ABDELMALEK</t>
  </si>
  <si>
    <t>BENMOHAMMED MOHAMMED RAMZI</t>
  </si>
  <si>
    <t>BENKORICH HAMZA</t>
  </si>
  <si>
    <t>NOUALI MOHAMMED ELAMINE</t>
  </si>
  <si>
    <t>AHMIED MOHAMMED</t>
  </si>
  <si>
    <t>ZIANE CHERIF YOUCEF</t>
  </si>
  <si>
    <t>EL BILOK ABDESSAMAD</t>
  </si>
  <si>
    <t>BENCHERIF ALI</t>
  </si>
  <si>
    <t>BEKKOUCHE BILEL</t>
  </si>
  <si>
    <t>MECHETOUNE AOUED NOUR EL ISLAM WALID</t>
  </si>
  <si>
    <t>AOUAICHIA ABDELHADI</t>
  </si>
  <si>
    <t>ROUANE ILYES</t>
  </si>
  <si>
    <t>MAHAMMED ISMAIL</t>
  </si>
  <si>
    <t>MEKKAKIA MAAZA MOHAMMED ANOUAR</t>
  </si>
  <si>
    <t>SEMMAR MOHAMMED</t>
  </si>
  <si>
    <t>BOURAYA WALID</t>
  </si>
  <si>
    <t>BOUZIDI MOHAMMED</t>
  </si>
  <si>
    <t>HATTAB ILIES</t>
  </si>
  <si>
    <t>ACHOUR AHMED ABDELWAHAB</t>
  </si>
  <si>
    <t>ARDJOUN BOUAZZA ADEL</t>
  </si>
  <si>
    <t>BEKHTAOUI MOUSSA</t>
  </si>
  <si>
    <t>BELMILOUD MUSTAPHA SALAH EEDDINE</t>
  </si>
  <si>
    <t>BENAMAR AMINE</t>
  </si>
  <si>
    <t>BENDENIA DJILLALI</t>
  </si>
  <si>
    <t>BENSABEUR H'MIDA</t>
  </si>
  <si>
    <t>BERKENNOU KHALED</t>
  </si>
  <si>
    <t>BERNOU FOUAD</t>
  </si>
  <si>
    <t>BOUALAM BILEL</t>
  </si>
  <si>
    <t>BOUDJEMAA MOHAMED EL AMINE</t>
  </si>
  <si>
    <t>BOUKHARI ABDELMOUNAIM ABDELLAH</t>
  </si>
  <si>
    <t>BOURAADA DJAWED ABDESSAMED</t>
  </si>
  <si>
    <t>BOUSAHBA YOUNES</t>
  </si>
  <si>
    <t>CHALLA SALAH EDDINE</t>
  </si>
  <si>
    <t>ZERGUIT LAKHDAR</t>
  </si>
  <si>
    <t>ZEDDAM HABIB ABDELKADER</t>
  </si>
  <si>
    <t>ZAID FAYCAL HOUSSEM EDDINE</t>
  </si>
  <si>
    <t>DERKAOUI MOHAMED REDA</t>
  </si>
  <si>
    <t>ELKTIRI AKRAM</t>
  </si>
  <si>
    <t>GHARMOUL OMAR</t>
  </si>
  <si>
    <t>REZAZGA SOUFIAN</t>
  </si>
  <si>
    <t>RAHOU ZAKARIA</t>
  </si>
  <si>
    <t>GUEDOUAH MOHAMED ISLAM</t>
  </si>
  <si>
    <t>RAHLA HABIB</t>
  </si>
  <si>
    <t>HAMADOUCHE DJELLOUL</t>
  </si>
  <si>
    <t>HAMDOUN OUSSAMA</t>
  </si>
  <si>
    <t>HAMIDI MOHAMED SOHEIB</t>
  </si>
  <si>
    <t>HAMLILI ISMAIL</t>
  </si>
  <si>
    <t>HASSANI MOKHTAR NAZIM</t>
  </si>
  <si>
    <t>HENNI ABDELHALIM</t>
  </si>
  <si>
    <t>LAHMIME HOUSSAM EDDINE</t>
  </si>
  <si>
    <t>MADI MOHAMED EL AMINE</t>
  </si>
  <si>
    <t>MESSAOUDENE MOHAMED SOUFIANE</t>
  </si>
  <si>
    <t>NEHARI NASRALLAH</t>
  </si>
  <si>
    <t>CHOUITER ISLEM</t>
  </si>
  <si>
    <t>DEKICHE M'HAMED</t>
  </si>
  <si>
    <t>AOUDJ HADJ MOHAMED AMINE</t>
  </si>
  <si>
    <t>BOUDINAR MOHAMED REZOUG</t>
  </si>
  <si>
    <t>ALIK ABDELKADER</t>
  </si>
  <si>
    <t>BOUKHARI YOUCEF</t>
  </si>
  <si>
    <t>MEHDANI KAMEL</t>
  </si>
  <si>
    <t>BAGHARSA HOCINE</t>
  </si>
  <si>
    <t>BENDADI HADJ-MOHAMED</t>
  </si>
  <si>
    <t>ABDELAZIZ MOHAMMED FAROUK</t>
  </si>
  <si>
    <t>KERROUMI ABDERRAHMENE</t>
  </si>
  <si>
    <t>BELALIA YAZID</t>
  </si>
  <si>
    <t>CHAIBDRAA AYOUB</t>
  </si>
  <si>
    <t>OULED ALI ABDELMOUNAIM</t>
  </si>
  <si>
    <t>TAHIDOUSTI ABDELMALEK</t>
  </si>
  <si>
    <t>TCHEMMOUN WASSIM</t>
  </si>
  <si>
    <t>BOUDAOUI MOHAMMED ISSAM</t>
  </si>
  <si>
    <t>AYED MOHAMMED BENYEBKA</t>
  </si>
  <si>
    <t>GHOMARI YACINE</t>
  </si>
  <si>
    <t>HAOUI EL HADJ</t>
  </si>
  <si>
    <t>SAFIR HAMED ABDELKEBIR</t>
  </si>
  <si>
    <t>KROUNI IBRAHIM</t>
  </si>
  <si>
    <t>HALASSA RAYANE</t>
  </si>
  <si>
    <t>KAMEL BILEL</t>
  </si>
  <si>
    <t>KEROUANE YOUNES</t>
  </si>
  <si>
    <t>TAHIDOUSTI MOKHTAR</t>
  </si>
  <si>
    <t>AMEUR ABDE ILLAH</t>
  </si>
  <si>
    <t>LAREDJ MOHAMMED ABDELAZIZ</t>
  </si>
  <si>
    <t>AMRY ABDELKARIM</t>
  </si>
  <si>
    <t>MOKHTARI ABDERRAHMENE</t>
  </si>
  <si>
    <t>NASRI MOHAMMED HICHEM</t>
  </si>
  <si>
    <t>BELKACEM MOHAMMED EL HADI</t>
  </si>
  <si>
    <t>EDDEBI HAITHEM</t>
  </si>
  <si>
    <t>KHELIL MOHAMMED</t>
  </si>
  <si>
    <t>HAMIDI ABDELKADER SOFIANE</t>
  </si>
  <si>
    <t>HOCINE ISSLEM YOUCEF</t>
  </si>
  <si>
    <t>MESSAOUD RAMDANE ABDELHADI</t>
  </si>
  <si>
    <t>GASMI MOHAMED WALID</t>
  </si>
  <si>
    <t>BENTAYEB ABDELHADI</t>
  </si>
  <si>
    <t>FARES ABDELMADJID</t>
  </si>
  <si>
    <t>ABABSA ISMAIL BOUDJEMAA</t>
  </si>
  <si>
    <t>BENZEGUIR YOUCEF</t>
  </si>
  <si>
    <t>BRAHMI NEDHIR</t>
  </si>
  <si>
    <t>ABDELI AOUED ABD EL ILLAH</t>
  </si>
  <si>
    <t>MILOUD BAICH ABDERRAHMANE</t>
  </si>
  <si>
    <t>LAKEHAL EL HOUCINE</t>
  </si>
  <si>
    <t>NEKROUF ABDELILLAH MANSOUR</t>
  </si>
  <si>
    <t>SEIHOUB AHMED</t>
  </si>
  <si>
    <t>BENAOUDA YOUCEF</t>
  </si>
  <si>
    <t>GOUAL MOHAMMED SEIF EDDINE</t>
  </si>
  <si>
    <t>AZZOUZ ISHAK</t>
  </si>
  <si>
    <t>HAMZA ABDELKRIM</t>
  </si>
  <si>
    <t>MIMOUN AHMED NOUR EL ISLEM</t>
  </si>
  <si>
    <t>ABBES MAHDI CHAKIB</t>
  </si>
  <si>
    <t>SALAH MOHAMMED EL NADIR</t>
  </si>
  <si>
    <t>BOURY MOHAMMED AYOUB</t>
  </si>
  <si>
    <t>MAIDI YASSER</t>
  </si>
  <si>
    <t>MEJDOUBI KHEIR EDDINE</t>
  </si>
  <si>
    <t>BRAHIM ABDELLLAH ILYAS</t>
  </si>
  <si>
    <t>DIB RAYENE ZOUBIR</t>
  </si>
  <si>
    <t>REZINE MOHAMMED YACINE</t>
  </si>
  <si>
    <t>HANIF MOHAMMED</t>
  </si>
  <si>
    <t>ABDREBBI MOHAMED ABDERRAHMEN</t>
  </si>
  <si>
    <t>NEKKAL HAMZA</t>
  </si>
  <si>
    <t>ABDALLAH TAMER</t>
  </si>
  <si>
    <t>OUAHAB AYMENE</t>
  </si>
  <si>
    <t>REZIG AMINE</t>
  </si>
  <si>
    <t>BENMANSOUR HAYTEM</t>
  </si>
  <si>
    <t>REBIB MOHAMED</t>
  </si>
  <si>
    <t>BOUSSAID IBRAHIM</t>
  </si>
  <si>
    <t>BENCHOHRA REDOUANE CHARF EDDINE</t>
  </si>
  <si>
    <t>BENOUIS BELKHEIR SALAH EDDINE</t>
  </si>
  <si>
    <t>BACHIR-BAY MOHAMMED ELAMINE</t>
  </si>
  <si>
    <t>KRIM MEHDI</t>
  </si>
  <si>
    <t>FEROUL IBRAHIM-ABDERREZAK</t>
  </si>
  <si>
    <t>KERTOUTE FAYCAL</t>
  </si>
  <si>
    <t>BENSAADA MOHAMMED WALID</t>
  </si>
  <si>
    <t>KADIALLAH ZAKARIA</t>
  </si>
  <si>
    <t>HAMDADA AISSA</t>
  </si>
  <si>
    <t>BECHAKH NASREDDINE ILYES</t>
  </si>
  <si>
    <t>LARIBI DJILALI</t>
  </si>
  <si>
    <t>HADDAD MOURAD</t>
  </si>
  <si>
    <t>ATALLAH HAMID</t>
  </si>
  <si>
    <t>DRICI SACI</t>
  </si>
  <si>
    <t>LARABI DORGHAM</t>
  </si>
  <si>
    <t>MAGHAOUI KAFI</t>
  </si>
  <si>
    <t>KHELIFI OMAR</t>
  </si>
  <si>
    <t>LAZREG ABDELKADER</t>
  </si>
  <si>
    <t>BENAOUDA HOUARI</t>
  </si>
  <si>
    <t>BELBACHIR BOUBEKAR SEDDIK</t>
  </si>
  <si>
    <t>DOUANE MAKHLOUF</t>
  </si>
  <si>
    <t>BOUHADIBA MOHAMMED</t>
  </si>
  <si>
    <t>RAHMOUNI MOHAMED EL AMINE</t>
  </si>
  <si>
    <t>MEDBOUHI MOHAMMED DJAZOULI</t>
  </si>
  <si>
    <t>YAHIAOUI HASNI</t>
  </si>
  <si>
    <t>BOUKHATEM M'HAMED</t>
  </si>
  <si>
    <t>ZELBAH KADA</t>
  </si>
  <si>
    <t>ADJINA BOUMEDIENE</t>
  </si>
  <si>
    <t>HADRI DJEFFAL KOUIDER</t>
  </si>
  <si>
    <t>ADDOU ABDELKARIM</t>
  </si>
  <si>
    <t>BABA HAMED HADJ ABBES</t>
  </si>
  <si>
    <t>NIMOUR SALAH</t>
  </si>
  <si>
    <t>BENAZZOUZ NOUR-EDDINE</t>
  </si>
  <si>
    <t>ROUMANE BENCHERKI</t>
  </si>
  <si>
    <t>BIBI AMAR</t>
  </si>
  <si>
    <t>GACEM REDA</t>
  </si>
  <si>
    <t>TCHENAR ADNANE ABDERRAHMANE</t>
  </si>
  <si>
    <t>GUELLIL ALI</t>
  </si>
  <si>
    <t>BENSAFI BOUMEDIENE</t>
  </si>
  <si>
    <t>LAKJA AHMED</t>
  </si>
  <si>
    <t>HAMADOUCHE SADDAM</t>
  </si>
  <si>
    <t>BELKACEMI MOHAMED</t>
  </si>
  <si>
    <t>BOUSSOUIFA KADA</t>
  </si>
  <si>
    <t>MEZERAI ABDELWAHAB</t>
  </si>
  <si>
    <t>BELAIDI MOHAMMED AMINE</t>
  </si>
  <si>
    <t>LABIOD MOHAMMED EL AMINE</t>
  </si>
  <si>
    <t>LAKHDARI MOHAMMED</t>
  </si>
  <si>
    <t>MAHIDDINI ABDERRAHMAN</t>
  </si>
  <si>
    <t>HERRADI MOHAMMED NADIR</t>
  </si>
  <si>
    <t>KADI ALLAH ABDELHAK</t>
  </si>
  <si>
    <t>KHACHAI ILIAS ALLAL</t>
  </si>
  <si>
    <t>TAHA ALI CHERIF</t>
  </si>
  <si>
    <t>LOUERRAD EL HABIB</t>
  </si>
  <si>
    <t>SACI MAHMOUD</t>
  </si>
  <si>
    <t>ABDELHALIM ABDELKADER</t>
  </si>
  <si>
    <t>KOURDACHE SALAH</t>
  </si>
  <si>
    <t>KADA KELLOUCHA KAMEL MUSTAPHA</t>
  </si>
  <si>
    <t>HOCINI ABDERRAZAK</t>
  </si>
  <si>
    <t>DERMECHE HACENE</t>
  </si>
  <si>
    <t>BELBARI SOFIANE</t>
  </si>
  <si>
    <t>CHALABI MOHAMED FETHI</t>
  </si>
  <si>
    <t>HOCINE HOCINE</t>
  </si>
  <si>
    <t>BOUZOUINA ALI</t>
  </si>
  <si>
    <t>BELKESSA MOHAMED</t>
  </si>
  <si>
    <t>SEBBAH WALID</t>
  </si>
  <si>
    <t>MENSOUS SIDAHMED-ELHOUCINE</t>
  </si>
  <si>
    <t>MESLEM OTMANE</t>
  </si>
  <si>
    <t>TORRICHI ZAKARIA</t>
  </si>
  <si>
    <t>AYOUN SAMIR</t>
  </si>
  <si>
    <t>BOUDJEMAA MOHAMED AMINE</t>
  </si>
  <si>
    <t>AZZOUG M'HAND SAADI</t>
  </si>
  <si>
    <t>KOLLI KHALED</t>
  </si>
  <si>
    <t>BENKAMRA ABDERRAHMANE</t>
  </si>
  <si>
    <t>AOUFI TAYEB</t>
  </si>
  <si>
    <t>SLIMANI MOHAMED</t>
  </si>
  <si>
    <t>CHALABI OMAR</t>
  </si>
  <si>
    <t>OTMANI NADIR</t>
  </si>
  <si>
    <t>BELAS IBRAHIM</t>
  </si>
  <si>
    <t>HASSANI DJAMEL</t>
  </si>
  <si>
    <t>KROUNI FETHALLAH</t>
  </si>
  <si>
    <t>GOUCHAM BOUDAOUD</t>
  </si>
  <si>
    <t>CHEMLAL AHMED MOHAMED ANIS</t>
  </si>
  <si>
    <t>BENABDELMOUMENE LAHOUARI</t>
  </si>
  <si>
    <t>AMARA AMAR</t>
  </si>
  <si>
    <t>KHALADI ZAKARIA</t>
  </si>
  <si>
    <t>KELLEL SOFIANE</t>
  </si>
  <si>
    <t>KEDDAR MOHAMMED</t>
  </si>
  <si>
    <t>KADI MOHAMED AMINE</t>
  </si>
  <si>
    <t>KHELIFA OMAR</t>
  </si>
  <si>
    <t>KHELIFA MOHAMMED FATEH</t>
  </si>
  <si>
    <t>KHODJA BRAHIM</t>
  </si>
  <si>
    <t>IFTENE AREZKI</t>
  </si>
  <si>
    <t>BENOUTI ABDELKRIM</t>
  </si>
  <si>
    <t>ABDELKADER BELKACEM</t>
  </si>
  <si>
    <t>KADDOUR ABDERRAHMANE HOUARI</t>
  </si>
  <si>
    <t>BELLAKHDAR SID AHMED</t>
  </si>
  <si>
    <t>FRAHI ALI</t>
  </si>
  <si>
    <t>HAMRIT MOHAMED AMINE</t>
  </si>
  <si>
    <t>NEGAIBI YOUNES</t>
  </si>
  <si>
    <t>TAHRI ABDERRAHMANE</t>
  </si>
  <si>
    <t>GAID ABDELKADER</t>
  </si>
  <si>
    <t>AMMOUR ABDELKADER</t>
  </si>
  <si>
    <t>GHALEM ABDELMADJID</t>
  </si>
  <si>
    <t>ZERIGUI AHMED</t>
  </si>
  <si>
    <t>EL KRIM FOUZI</t>
  </si>
  <si>
    <t>MEKRABECH MOSTEFA</t>
  </si>
  <si>
    <t>GOUAICH MOHAMED TAYEB</t>
  </si>
  <si>
    <t>AZZOUZ BENSELLOUA FARID</t>
  </si>
  <si>
    <t>CHEHIDA ABDELHAFID</t>
  </si>
  <si>
    <t>BELHADJ BENAOUDA</t>
  </si>
  <si>
    <t>BOUAZZA KHALED</t>
  </si>
  <si>
    <t>OUADRINE ALI</t>
  </si>
  <si>
    <t>MELLAH MOHAMED</t>
  </si>
  <si>
    <t>MERZOUG WAHBI</t>
  </si>
  <si>
    <t>KHADAOUI MILOUD</t>
  </si>
  <si>
    <t>CHAIB BENCHAIB</t>
  </si>
  <si>
    <t>DAOUADJI EL HADJ</t>
  </si>
  <si>
    <t>MEDJAHED ABDELALI</t>
  </si>
  <si>
    <t>ELKADI ALI CHERIF</t>
  </si>
  <si>
    <t>MELIANI MAIDA BRAHIM</t>
  </si>
  <si>
    <t>MIMOUCHE SAID</t>
  </si>
  <si>
    <t>BOURIDANE MOHAMED</t>
  </si>
  <si>
    <t>NESSAI BOUMEDIENE</t>
  </si>
  <si>
    <t>BENSAHA ABDELHAK</t>
  </si>
  <si>
    <t>DRID MUSTAPHA EL AMINE</t>
  </si>
  <si>
    <t>MANSOURI DJALLEL</t>
  </si>
  <si>
    <t>BENBERBER HADJ</t>
  </si>
  <si>
    <t>TERKHI ABDELKADER</t>
  </si>
  <si>
    <t>BACHIR BELMEHDI BELKACEM</t>
  </si>
  <si>
    <t>LAZREG FAYCAL</t>
  </si>
  <si>
    <t>HAMLAT ABDELMADJID</t>
  </si>
  <si>
    <t>BELKADI HOUARI</t>
  </si>
  <si>
    <t>ABDELLAOUI ALI</t>
  </si>
  <si>
    <t>ALEM DJEBBAR SALAH EDDINE</t>
  </si>
  <si>
    <t>BELABID BRAHIM</t>
  </si>
  <si>
    <t>BELHACHEMI MOHAMMED</t>
  </si>
  <si>
    <t>BELOUFA MOHAMMED</t>
  </si>
  <si>
    <t>BENAMARI MOHAMMED</t>
  </si>
  <si>
    <t>BENHENNI IBRAHIM</t>
  </si>
  <si>
    <t>BENOURRAD FAROUK</t>
  </si>
  <si>
    <t>BENSABEUR MUSTAPHA AMINE</t>
  </si>
  <si>
    <t>BENSLIMANE MOHAMMED AMINE</t>
  </si>
  <si>
    <t>BEZTOUT ABDELGHANI</t>
  </si>
  <si>
    <t>BOUHAFSI DJABALLAH</t>
  </si>
  <si>
    <t>FORLOUL YOUCEF</t>
  </si>
  <si>
    <t>HABIBECHE SALAH EDDINE</t>
  </si>
  <si>
    <t>HAOUI MOHAMED AMINE</t>
  </si>
  <si>
    <t>KHATTABI MOHAMMED AMIN</t>
  </si>
  <si>
    <t>KIOUR AHMED</t>
  </si>
  <si>
    <t>LAROUSSI SOFIANE BACHIR</t>
  </si>
  <si>
    <t>RAHIM ABDELKRIM</t>
  </si>
  <si>
    <t>SEBAH SID AHMED</t>
  </si>
  <si>
    <t>DAIRI MADJID</t>
  </si>
  <si>
    <t>BELHEZIEL MOHAMMED AMINE ABDELHAK</t>
  </si>
  <si>
    <t>BELYAKDOUMI LAZREG</t>
  </si>
  <si>
    <t>BENSADOUN SID AHMED</t>
  </si>
  <si>
    <t>LOUMANI OUSSAMA</t>
  </si>
  <si>
    <t>CHEKKAL IMED</t>
  </si>
  <si>
    <t>KOUIDER HAMZA</t>
  </si>
  <si>
    <t>SAHNOUN MOHAMMED TARIK HADI</t>
  </si>
  <si>
    <t>TAYEB-BEY ABDELHAK</t>
  </si>
  <si>
    <t>TOULA MOHAMMED</t>
  </si>
  <si>
    <t>NEMER KHENIFI</t>
  </si>
  <si>
    <t>BACHIR BACHIR</t>
  </si>
  <si>
    <t>SEIHOUB MOHAMED</t>
  </si>
  <si>
    <t>BENHAMMOU SOFIANE</t>
  </si>
  <si>
    <t>MEKHATRIA YOUSSEF</t>
  </si>
  <si>
    <t>KHALED MANSOUR</t>
  </si>
  <si>
    <t>BOURI MOHAMED</t>
  </si>
  <si>
    <t>BESSAYAH LAHOUARI</t>
  </si>
  <si>
    <t>AID AHMED - OUALID</t>
  </si>
  <si>
    <t>BEHIH MOHAMMED</t>
  </si>
  <si>
    <t>FOUKA FOUAD MOHAMED</t>
  </si>
  <si>
    <t>HADDAR TARIK</t>
  </si>
  <si>
    <t>HADRI DJEFFAL IBRAHIM</t>
  </si>
  <si>
    <t>HAMRA EL HADJ ABDELKADER</t>
  </si>
  <si>
    <t>KORICHE MOHAMMED EL FAROUQ</t>
  </si>
  <si>
    <t>MAARER ABDERRAZEK</t>
  </si>
  <si>
    <t>OSMANI ABDELKADER</t>
  </si>
  <si>
    <t>BOUAZDIA SAHRAOUI</t>
  </si>
  <si>
    <t>HAMIDI NOUR-EDDINE</t>
  </si>
  <si>
    <t>KHELLAF AHMED</t>
  </si>
  <si>
    <t>AMRANI SAID</t>
  </si>
  <si>
    <t>BOUKRA DJELLAL SAIAH KARIM</t>
  </si>
  <si>
    <t>BOURI HADJ SAID</t>
  </si>
  <si>
    <t>BOUZEFRANE NOUREDDINE</t>
  </si>
  <si>
    <t>M'RAH MOHAMED AMINE</t>
  </si>
  <si>
    <t>BENSAADA HABIB</t>
  </si>
  <si>
    <t>TIR LAHOUARI</t>
  </si>
  <si>
    <t>CHERCHER HAMOU</t>
  </si>
  <si>
    <t>BOUALGA CHAKIB HSSINE</t>
  </si>
  <si>
    <t>AOUAD MOKHTAR ZACCARIA</t>
  </si>
  <si>
    <t>DALACHI MOKHTAR</t>
  </si>
  <si>
    <t>HAMDAOUI HOUARI</t>
  </si>
  <si>
    <t>BELARBI AHMED</t>
  </si>
  <si>
    <t>DAHOU ABDERRAHIM</t>
  </si>
  <si>
    <t>TOUALA CHAILA NABIL</t>
  </si>
  <si>
    <t>AISSANI RACHED</t>
  </si>
  <si>
    <t>BOUKHELIF LAHOUARI</t>
  </si>
  <si>
    <t>ZIDI RACHED</t>
  </si>
  <si>
    <t>LITIM SIDI MOHAMED</t>
  </si>
  <si>
    <t>BENAHMED AISSA LAID</t>
  </si>
  <si>
    <t>BEN TAHAR OUSSAMA HOUARI</t>
  </si>
  <si>
    <t>LAHRECHE MOHAMED</t>
  </si>
  <si>
    <t>TOUIL ABDENOUR BELKACEM</t>
  </si>
  <si>
    <t>MEHNANE MOHAMMED ESSEDIK</t>
  </si>
  <si>
    <t>ALI MOUSSA OMAR</t>
  </si>
  <si>
    <t>BENMOHAMED OUSSAMA</t>
  </si>
  <si>
    <t>BELOUZ MOHAMMED ALAA EDDINE</t>
  </si>
  <si>
    <t>GHOUTI IMED EDDINE</t>
  </si>
  <si>
    <t>BOURABAH OUSSAMA</t>
  </si>
  <si>
    <t>KHELLAFI SMAIL</t>
  </si>
  <si>
    <t>MAHRAZ MOHAMMED</t>
  </si>
  <si>
    <t>KOUHLI MOHAMMED ISLEM</t>
  </si>
  <si>
    <t>BORDJI AKRAM</t>
  </si>
  <si>
    <t>CHAREF HOUARI</t>
  </si>
  <si>
    <t>ARBI ZAKARIA</t>
  </si>
  <si>
    <t>LARIBI ABED OUSSAMA</t>
  </si>
  <si>
    <t>AISSA ADEM</t>
  </si>
  <si>
    <t>MADANI WALID</t>
  </si>
  <si>
    <t>BENTIBA MOHAMED SOFIANE</t>
  </si>
  <si>
    <t>HOUARI ALAEDDINE</t>
  </si>
  <si>
    <t>CHEKIKENE LOUNES</t>
  </si>
  <si>
    <t>ALI ABDEMOUMENE</t>
  </si>
  <si>
    <t>MAMECHE WALID</t>
  </si>
  <si>
    <t>DAOUDI DAHMAN</t>
  </si>
  <si>
    <t>KHERFI ZAKARIA</t>
  </si>
  <si>
    <t>NEDJAR KAMEL</t>
  </si>
  <si>
    <t>DERKAOUI ALI</t>
  </si>
  <si>
    <t>KABOUCHE KADA</t>
  </si>
  <si>
    <t>DOUKALI AHMED</t>
  </si>
  <si>
    <t>MAHIEDDIN RABEI CHERIF</t>
  </si>
  <si>
    <t>BELFOUL ALI</t>
  </si>
  <si>
    <t>BELKACEM MOHAMMED</t>
  </si>
  <si>
    <t>SABEUR BETTAHAR</t>
  </si>
  <si>
    <t>ZERROUALI OMAR</t>
  </si>
  <si>
    <t>MOHCINI ABDEL ILLAH</t>
  </si>
  <si>
    <t>GUELLICHA YAHIA</t>
  </si>
  <si>
    <t>SOUANE KADA</t>
  </si>
  <si>
    <t>BOUMEDIENE MOHAMMED</t>
  </si>
  <si>
    <t>RAHAL ABDELKADER ANAS</t>
  </si>
  <si>
    <t>BOUKHS MOHAMMED</t>
  </si>
  <si>
    <t>REKAD MENOUAR</t>
  </si>
  <si>
    <t>BOUAZZA MOHAMED EL AMINE</t>
  </si>
  <si>
    <t>SOUILLAH FATEH</t>
  </si>
  <si>
    <t>HALIMI ABDELKADER</t>
  </si>
  <si>
    <t>BOUZID SID AHMED</t>
  </si>
  <si>
    <t>TOUIL MOHAMED ADEL</t>
  </si>
  <si>
    <t>BOURI OMAR</t>
  </si>
  <si>
    <t>BOUAMER MOHAMMED AMINE</t>
  </si>
  <si>
    <t>BENDERDOUCHE AHMED</t>
  </si>
  <si>
    <t>ATTOUCHE ROMAISSA</t>
  </si>
  <si>
    <t>ALLALI AMINA</t>
  </si>
  <si>
    <t>HADJ ALI MALIKA</t>
  </si>
  <si>
    <t>AZIL IKRAM</t>
  </si>
  <si>
    <t>BELKHODJA WAHIBA</t>
  </si>
  <si>
    <t>NEZZAR AMINA</t>
  </si>
  <si>
    <t>GUESSOUM RABIAA IBTISSEM</t>
  </si>
  <si>
    <t>DAIFELLAH AICHA</t>
  </si>
  <si>
    <t>AZROUG SOUHILA</t>
  </si>
  <si>
    <t>HAMAMCHA DALLEL</t>
  </si>
  <si>
    <t>BOUNAAMA SARAH</t>
  </si>
  <si>
    <t>ABBAD AICHA</t>
  </si>
  <si>
    <t>SALEM NADIA</t>
  </si>
  <si>
    <t>CHAIB DRAA TANI NAWEL</t>
  </si>
  <si>
    <t>TAHIDOUSTI KARIMA</t>
  </si>
  <si>
    <t>KACIMI HOUARIA</t>
  </si>
  <si>
    <t>LOUMANI FATIMA ZOHRA</t>
  </si>
  <si>
    <t>MEBIROUK SAMIA</t>
  </si>
  <si>
    <t>HADDJAME FATIHA</t>
  </si>
  <si>
    <t>DEKHILI AMINA</t>
  </si>
  <si>
    <t>HADJAM NOUR EL HOUDA</t>
  </si>
  <si>
    <t>MESLI WASSILA NADIA</t>
  </si>
  <si>
    <t>DAHMANI SAMIA</t>
  </si>
  <si>
    <t>ISRI IMENE</t>
  </si>
  <si>
    <t>BELLACHE LEILA</t>
  </si>
  <si>
    <t>BENZIANE NAIMA</t>
  </si>
  <si>
    <t>SOLTANA HOUDA</t>
  </si>
  <si>
    <t>AMRI FATIHA</t>
  </si>
  <si>
    <t>BOUBAKEUR NORIA</t>
  </si>
  <si>
    <t>MIMOUCHE HAYET</t>
  </si>
  <si>
    <t>HAFFAR AMINA</t>
  </si>
  <si>
    <t>BENDEHNOUN HIND</t>
  </si>
  <si>
    <t>AMEUR AMINA</t>
  </si>
  <si>
    <t>CHAIBDRAA TANI HAYAT</t>
  </si>
  <si>
    <t>HAMERLAINE SALIHA</t>
  </si>
  <si>
    <t>MOKHTARI KATIA</t>
  </si>
  <si>
    <t>CHEMLAL HANANE</t>
  </si>
  <si>
    <t>AOUMER DJAMILA</t>
  </si>
  <si>
    <t>SIDELHADJ HADJER</t>
  </si>
  <si>
    <t>NEGADI IBTISSEM</t>
  </si>
  <si>
    <t>AMARA RADIA</t>
  </si>
  <si>
    <t>OULD SAID IKRAM</t>
  </si>
  <si>
    <t>HOCINE DALLAL</t>
  </si>
  <si>
    <t>BENBACHIR FATIMA</t>
  </si>
  <si>
    <t>MERZOUG NAWEL</t>
  </si>
  <si>
    <t>ZITOUNI MOUNIET NEFOUSS</t>
  </si>
  <si>
    <t>BOUTELDJ SARRA</t>
  </si>
  <si>
    <t>BECHIR SABRINA</t>
  </si>
  <si>
    <t>BENMESSAOUD DJAMILA</t>
  </si>
  <si>
    <t>MEZOUED ZOUGGAR LINDA</t>
  </si>
  <si>
    <t>AMEUR NAIMA</t>
  </si>
  <si>
    <t>KOUIDER NOURIA</t>
  </si>
  <si>
    <t>BOUHAFSI NESRINE</t>
  </si>
  <si>
    <t>FRITIS KELTOUM</t>
  </si>
  <si>
    <t>GHAZOUI SARRA NOUR EL HOUDA</t>
  </si>
  <si>
    <t>ZAFRANE SOUAD</t>
  </si>
  <si>
    <t>MEHIDI FATIMA ZOHRA</t>
  </si>
  <si>
    <t>HAMIA FAIZA</t>
  </si>
  <si>
    <t>BOUKHATEM NAHLA</t>
  </si>
  <si>
    <t>BORDJI AMEL</t>
  </si>
  <si>
    <t>FAREH NAWEL</t>
  </si>
  <si>
    <t>BENMEDJAHED LILA</t>
  </si>
  <si>
    <t>BOUDJELLA SONIA</t>
  </si>
  <si>
    <t>HAMZAOUI SALIMA</t>
  </si>
  <si>
    <t>BOUBRIMA NABILA</t>
  </si>
  <si>
    <t>BENKHELIFA SOUHILA</t>
  </si>
  <si>
    <t>Le Chef De Département ADM</t>
  </si>
  <si>
    <t>S. ABDELOUAHID</t>
  </si>
  <si>
    <t xml:space="preserve">AZZOUZ BENSELLOUA FARID </t>
  </si>
  <si>
    <t xml:space="preserve"> DERMECHE HACENE</t>
  </si>
  <si>
    <t>M ABID HADJ</t>
  </si>
  <si>
    <t>M BOUMEDMED AISSA</t>
  </si>
  <si>
    <t>M ANBERI MOHAMED</t>
  </si>
  <si>
    <t>M BENDENIA MOHAMMED EL AMINE</t>
  </si>
  <si>
    <t>M DJALTI AHMED</t>
  </si>
  <si>
    <t>M ZOUGGAR BRAHIM</t>
  </si>
  <si>
    <t>M TAHIDOUSTI MOHAMED</t>
  </si>
  <si>
    <t>M BENHADJELA NABIL</t>
  </si>
  <si>
    <t>M BENGUERMIA ABDERRAHMANE</t>
  </si>
  <si>
    <t>M MOKHTARI ABDELKADER</t>
  </si>
  <si>
    <t>M LASTAL WALID</t>
  </si>
  <si>
    <t>M MEKRI ABDELKRIM</t>
  </si>
  <si>
    <t>M BENDAHO ABDELKADER</t>
  </si>
  <si>
    <t>M FEGHOUL MOHAMED EL AMINE</t>
  </si>
  <si>
    <t>M HASNAOUI AHMED</t>
  </si>
  <si>
    <t>M REHAB HOUARI</t>
  </si>
  <si>
    <t>M AISSAOUI MOHAMED</t>
  </si>
  <si>
    <t>M MRIZIGUI AHMED</t>
  </si>
  <si>
    <t>M MELOUKA SOFIANE</t>
  </si>
  <si>
    <t>M BELGHARBI ABDELKADER</t>
  </si>
  <si>
    <t>M CHERGUI MOHAMMED NASREDDINE</t>
  </si>
  <si>
    <t>M MISRATI SOFIANE</t>
  </si>
  <si>
    <t>M BOUFELDJA MOHAMMED</t>
  </si>
  <si>
    <t>M MIMOUN ABDELHAMID</t>
  </si>
  <si>
    <t>M CHABI MOHAMED IHAB</t>
  </si>
  <si>
    <t>M DIDA ADEL</t>
  </si>
  <si>
    <t>M MIDOUN ELAMINE</t>
  </si>
  <si>
    <t>M TIMZI FOUAD</t>
  </si>
  <si>
    <t>M MILOUD MOHAMMED EL AMINE</t>
  </si>
  <si>
    <t>M GHALEM ABDELKARIM</t>
  </si>
  <si>
    <t>M ZORKANI MOHAMED FETH ALLAH</t>
  </si>
  <si>
    <t>M CHAIB DRAA TANI MOHAMED MEHDI</t>
  </si>
  <si>
    <t>M AIT EMRAR RACHID</t>
  </si>
  <si>
    <t>M BELARBI KHEIR EDDINE</t>
  </si>
  <si>
    <t>M GASMI MOHAMMED</t>
  </si>
  <si>
    <t>M CHIB MOHAMED RIAD</t>
  </si>
  <si>
    <t>M BENHENNI LAHCENE</t>
  </si>
  <si>
    <t>M BOUNOUA BRAHIM</t>
  </si>
  <si>
    <t>M GHALEM ABDERRAHIM</t>
  </si>
  <si>
    <t>M CHANANE MOHAMED</t>
  </si>
  <si>
    <t>M BENZIDANE MOHAMED</t>
  </si>
  <si>
    <t>M BENSALEM MOHAMED</t>
  </si>
  <si>
    <t>M BELKACEM MUSTAPHA AMINE</t>
  </si>
  <si>
    <t>M CHENAFA BESSAFI</t>
  </si>
  <si>
    <t>M BENATTOU AMINE</t>
  </si>
  <si>
    <t>M HANTIT ABDERRAHMANE</t>
  </si>
  <si>
    <t>M MIMOUN MOHAMED</t>
  </si>
  <si>
    <t>M BENDIDI SEDDIK</t>
  </si>
  <si>
    <t>M SAIAD KARIM</t>
  </si>
  <si>
    <t>M BOUZID EL MEHDI</t>
  </si>
  <si>
    <t>M TOURABI MOHAMED ANISS</t>
  </si>
  <si>
    <t>M GHEDABNA MOHAMMED CHAWKI</t>
  </si>
  <si>
    <t>M RARBI OMAR</t>
  </si>
  <si>
    <t>M BERRACHED MOHAMED AMINE</t>
  </si>
  <si>
    <t>M NIATI TAREK</t>
  </si>
  <si>
    <t>M BENAHMED ABDELKADER AMINE</t>
  </si>
  <si>
    <t>M GHEBGHOUB TAHAR</t>
  </si>
  <si>
    <t>M EL HADRI MOURAD</t>
  </si>
  <si>
    <t>M ZERGUIT SOFIANE</t>
  </si>
  <si>
    <t>M AZAZ DJALLAL</t>
  </si>
  <si>
    <t>M AMEUR KHALID</t>
  </si>
  <si>
    <t>M BELHAYARA MOHAMMED ILYES</t>
  </si>
  <si>
    <t>M BELOUAHRANI MOHAMMED EL AMINE</t>
  </si>
  <si>
    <t>M BENSAFIR MOHAMMED ALLAA EDDINE</t>
  </si>
  <si>
    <t>M BENYAHLOU OMAR</t>
  </si>
  <si>
    <t>M CHAREF AISSA DJILALI</t>
  </si>
  <si>
    <t>M GUEDDOUAH MOHAMED AMINE</t>
  </si>
  <si>
    <t>M HATTAB MOHAMMED EL YACINE</t>
  </si>
  <si>
    <t>M LABBAS SID AHMED</t>
  </si>
  <si>
    <t>M MELIANI MOHAMMED</t>
  </si>
  <si>
    <t>M MERNIZ MAWLOUD</t>
  </si>
  <si>
    <t>M SABEUR CHOUIREF DJILLALI</t>
  </si>
  <si>
    <t>M TABAS DJILALI</t>
  </si>
  <si>
    <t>M TEDJINI MOHAMED MEHDI</t>
  </si>
  <si>
    <t>M KHOUALEF DJIHED</t>
  </si>
  <si>
    <t>M HATIM FETHI</t>
  </si>
  <si>
    <t>M HALFAOUI KADA MOHAMED</t>
  </si>
  <si>
    <t>M GUENNAZ YACINE</t>
  </si>
  <si>
    <t>M LAROUSSI SID AHMED AMINE</t>
  </si>
  <si>
    <t>M LAADJEL SOUFIANE</t>
  </si>
  <si>
    <t>M NEFAH IBRAHIM</t>
  </si>
  <si>
    <t>M REFFAS ADEL HOUSSEM EDDINE</t>
  </si>
  <si>
    <t>M REZMA MOHAMED AMINE</t>
  </si>
  <si>
    <t>M SAADAOUI REDOUANE</t>
  </si>
  <si>
    <t>M AOUF ABDELLATIF</t>
  </si>
  <si>
    <t>M BEKOUCHE HAKIM</t>
  </si>
  <si>
    <t>M BENAHMED MOHAMMED EL AMINE</t>
  </si>
  <si>
    <t>M BOUFERMA MEKADEM</t>
  </si>
  <si>
    <t>M DADI NADIR</t>
  </si>
  <si>
    <t>M MOUFFOKI BENOUMEUR</t>
  </si>
  <si>
    <t>M ALLAL ISMAIL</t>
  </si>
  <si>
    <t>M BOUSSEROUEL ABDELLAH</t>
  </si>
  <si>
    <t>M SIDI YACOUB NASREDDINE</t>
  </si>
  <si>
    <t>M MOSTAFA CHAKIB FOUAZ</t>
  </si>
  <si>
    <t>M MOUAHDI ABDALLAH</t>
  </si>
  <si>
    <t>M SAADOU HOUARI</t>
  </si>
  <si>
    <t>M OUNNAS DJILLALI</t>
  </si>
  <si>
    <t>M TAHRI BOUALEM</t>
  </si>
  <si>
    <t>M KAID KAMEL MOHAMED</t>
  </si>
  <si>
    <t>M BENAMER HOCINE</t>
  </si>
  <si>
    <t>M MAHI ABDELKADER</t>
  </si>
  <si>
    <t>M KACEM NOUREDDINE</t>
  </si>
  <si>
    <t>M ALI BELHADJ NAIM ABD UL ADIM</t>
  </si>
  <si>
    <t>M EL KOUMITI MOSTEFA</t>
  </si>
  <si>
    <t>M AMARA ABDELHEQ</t>
  </si>
  <si>
    <t>M TEMMAR NABIL</t>
  </si>
  <si>
    <t>M MEGHERBI WALID</t>
  </si>
  <si>
    <t>M BELFATMI ABOUBAKR SEDDIK</t>
  </si>
  <si>
    <t>M FATAH AHMED</t>
  </si>
  <si>
    <t>M BERRAHO HOUARI</t>
  </si>
  <si>
    <t>M ZENATA BENALI</t>
  </si>
  <si>
    <t>M HOUAIDJ ABDELALI</t>
  </si>
  <si>
    <t>M MEDHI OTHMANE</t>
  </si>
  <si>
    <t>M BENMAROUF WAIL ABDERRAHMANE</t>
  </si>
  <si>
    <t>M AMMARI MOHAMMED</t>
  </si>
  <si>
    <t>M BENICHOU ALI ISSAM EDDINE</t>
  </si>
  <si>
    <t>M GOMERI AHMED</t>
  </si>
  <si>
    <t>M KOUDRI ABDELHAMID</t>
  </si>
  <si>
    <t>M HANNI TOUFIK</t>
  </si>
  <si>
    <t>M BOULARZEK DJELLOUL SAIAH MOSTAFA</t>
  </si>
  <si>
    <t>M BOUASRIA ABDELHAMID</t>
  </si>
  <si>
    <t>M MOUMENE ABDALLAH</t>
  </si>
  <si>
    <t>M RAIS ALI SALAH EDDINE</t>
  </si>
  <si>
    <t>M BENOUIS MOHAMMED AMINE</t>
  </si>
  <si>
    <t>M ZINA RACHED ABDELKRIM</t>
  </si>
  <si>
    <t>M BAYOUR ABDELKADER</t>
  </si>
  <si>
    <t>M BELHADJ HACEN MOHAMED AMINE</t>
  </si>
  <si>
    <t>M ADJLOUT AKRAM</t>
  </si>
  <si>
    <t>M BENMOHAMMED MOHAMMED SOFIANE</t>
  </si>
  <si>
    <t>M OULD-BOUAZZA MOHAMMED AZZEDDINE</t>
  </si>
  <si>
    <t>M HAIMOUR RACHID</t>
  </si>
  <si>
    <t>M KACEM MOHAMMED</t>
  </si>
  <si>
    <t>M BENMESSAOUD ABDELKADER</t>
  </si>
  <si>
    <t>M BOUANANI ABDELHALIM</t>
  </si>
  <si>
    <t>M BENZINA MOHAMED ESSEDIK</t>
  </si>
  <si>
    <t>M KARA ACHIRA FOUAD SODKI</t>
  </si>
  <si>
    <t>M CHERGUI MOKHTAR</t>
  </si>
  <si>
    <t>M REDJEDAL ABDELKARIM</t>
  </si>
  <si>
    <t>M BENOUIS MAHMOUD</t>
  </si>
  <si>
    <t>M ROUABHI AHMED ILIAS</t>
  </si>
  <si>
    <t>M TALEB FOUAD</t>
  </si>
  <si>
    <t>M CHEBLI TAWFIQ</t>
  </si>
  <si>
    <t>M BEZZEGHOUD MOHAMMED ABDELKRIM</t>
  </si>
  <si>
    <t>M KAHIL ABDELMALEK</t>
  </si>
  <si>
    <t>M BEKRATTOU MUSTAPHA</t>
  </si>
  <si>
    <t>M MALKI MOHAMMED REDA</t>
  </si>
  <si>
    <t>M SEDDIK AHMED</t>
  </si>
  <si>
    <t>M RIDOUH FETHI</t>
  </si>
  <si>
    <t>M SAID KHALID</t>
  </si>
  <si>
    <t>M KOIBICH MOHAMED AMINE</t>
  </si>
  <si>
    <t>M KIHAL ABDENNOUR</t>
  </si>
  <si>
    <t>M FERHAOUI MOHAMED YACINE</t>
  </si>
  <si>
    <t>M HASSAINE ABDELKADER</t>
  </si>
  <si>
    <t>M HAMADA KHAYREDDINE</t>
  </si>
  <si>
    <t>M RAHOU RACHID</t>
  </si>
  <si>
    <t>M SAFA MOURAD</t>
  </si>
  <si>
    <t>M CHABOUNI NOUREDDINE</t>
  </si>
  <si>
    <t>M ABDELDJOUD NESREDDINE</t>
  </si>
  <si>
    <t>M LALDJI YOUCEF</t>
  </si>
  <si>
    <t>M DRIA MOHAMMED AMINE</t>
  </si>
  <si>
    <t>M BELALEM MOHAMED EL AMINE RIDHA</t>
  </si>
  <si>
    <t>M AISSA MOURAD</t>
  </si>
  <si>
    <t>M TOUALBIA MOHAMMED</t>
  </si>
  <si>
    <t>M TAYEB CHERIF KARIM</t>
  </si>
  <si>
    <t>M DJENDIR HICHAM</t>
  </si>
  <si>
    <t>M BOUKHARI DJAMEL EDDINE</t>
  </si>
  <si>
    <t>M HAMDANI YOUCEF</t>
  </si>
  <si>
    <t>M BOUABDALLAH YACINE</t>
  </si>
  <si>
    <t>M BENHAOUZI SIDI MOHAMMED ELMOUSSADEK</t>
  </si>
  <si>
    <t>M GHAZI AHMED</t>
  </si>
  <si>
    <t>M BENILHA YOUCEF</t>
  </si>
  <si>
    <t>M ELASSAD-ZEMALLACH-OUARRI ALI CHERIF</t>
  </si>
  <si>
    <t>M BELABBACI MOHAMMED EL AMIN</t>
  </si>
  <si>
    <t>M MIMOUN OMAR</t>
  </si>
  <si>
    <t>M RAZLI ABDELGHANI</t>
  </si>
  <si>
    <t>M KADARI LARBI</t>
  </si>
  <si>
    <t>M MIA MEFTAH MEKHISSI</t>
  </si>
  <si>
    <t>M BOUDJELLAL KHALED</t>
  </si>
  <si>
    <t>M DJILALI SAIAH HANI</t>
  </si>
  <si>
    <t>M BADSI YOUCEF</t>
  </si>
  <si>
    <t>M BOUZID NASREDDINE</t>
  </si>
  <si>
    <t>M BENARMAS BERKANE</t>
  </si>
  <si>
    <t>M BOUMEDINE MOKHTAR</t>
  </si>
  <si>
    <t>M CHABANE MOHAMED</t>
  </si>
  <si>
    <t>M MALKI TAYEB</t>
  </si>
  <si>
    <t>M BENAISSA MOHAMED EL AMINE</t>
  </si>
  <si>
    <t>M GANA HAMZA</t>
  </si>
  <si>
    <t>M SABRI BAGHDADI</t>
  </si>
  <si>
    <t>M LOUZI ABDELKRIM</t>
  </si>
  <si>
    <t>M ABIDALLAH MOHAMED EL AMINE</t>
  </si>
  <si>
    <t>M AZIL HABIB CHAWKI</t>
  </si>
  <si>
    <t>M BAGHDADI MOHAMMED AMINE</t>
  </si>
  <si>
    <t>M BEKKAYE MOHAMMED EL AMINE</t>
  </si>
  <si>
    <t>M BELHADJ MOSTEFA</t>
  </si>
  <si>
    <t>M BELKHIRA LAKHDAR</t>
  </si>
  <si>
    <t>M BEN AHMED YACINE</t>
  </si>
  <si>
    <t>M BENHAOUA BENYEKHLEF FAYCAL</t>
  </si>
  <si>
    <t>M BOUTICHE ZAKARIA</t>
  </si>
  <si>
    <t>M DJILALI NOUR EDDINE</t>
  </si>
  <si>
    <t>M FEGHOUL BELKACEM</t>
  </si>
  <si>
    <t>M KADDAR BOUMEDIENE</t>
  </si>
  <si>
    <t>M KERMEZLI ABDALLAH</t>
  </si>
  <si>
    <t>M KHALIF SOFIANE</t>
  </si>
  <si>
    <t>M MOKRANE DJELLOUL</t>
  </si>
  <si>
    <t>M MOSTEFAI HOUARI</t>
  </si>
  <si>
    <t>M SALAA ABDELHAK</t>
  </si>
  <si>
    <t>M SLAMA MOHAMED ELAID HABIB ALLAH</t>
  </si>
  <si>
    <t>M SLIMI HAKIM</t>
  </si>
  <si>
    <t>M SMIR MOHAMED- LAMINE</t>
  </si>
  <si>
    <t>M MENADI AMOUR</t>
  </si>
  <si>
    <t>M ASSIA HAMZA</t>
  </si>
  <si>
    <t>M CHEIKH AHMED EL AMINE</t>
  </si>
  <si>
    <t>M GHEBACHE BELKACEM</t>
  </si>
  <si>
    <t>M AMMOUR YACINE</t>
  </si>
  <si>
    <t>M HASNAOUI MOHAMMED NASREDDINE</t>
  </si>
  <si>
    <t>M MEKHLOUF MOHAMED</t>
  </si>
  <si>
    <t>M CHIHEB YAHIA MOHAMED</t>
  </si>
  <si>
    <t>M BEDDOUR SID AHMED</t>
  </si>
  <si>
    <t>M ABDELBAKI MOHAMED</t>
  </si>
  <si>
    <t>M BENHADRIA RAFIK</t>
  </si>
  <si>
    <t>M GUITTANE SADDAM HOCINE</t>
  </si>
  <si>
    <t>M TOUER HAMZA</t>
  </si>
  <si>
    <t>M YAYAOUI FETHI</t>
  </si>
  <si>
    <t>M CHAYAH BACHIR</t>
  </si>
  <si>
    <t>M MEDDAH MOHAMMED ESSEDDIK</t>
  </si>
  <si>
    <t>M BENHAMED ABDELKADER</t>
  </si>
  <si>
    <t>M BENSALAH BAROUDI</t>
  </si>
  <si>
    <t>M FERNINI FARID</t>
  </si>
  <si>
    <t>M DERROUICH KARIM</t>
  </si>
  <si>
    <t>M AOURAI ABDELKARIM</t>
  </si>
  <si>
    <t>M ARACI OUSSAMA MAHIEDDINE</t>
  </si>
  <si>
    <t>M BENMAGHNIA OUSSAMA</t>
  </si>
  <si>
    <t>M BERNAOUI MOHAMMED DJAMEL EDDINE</t>
  </si>
  <si>
    <t>M BOUHAMIDI DJAMEL EDDINE</t>
  </si>
  <si>
    <t>M BOUKRAA DJELLOUL</t>
  </si>
  <si>
    <t>M CHEMLEL MADJDOUB</t>
  </si>
  <si>
    <t>M CHOHRA KHALED</t>
  </si>
  <si>
    <t>M EL MOUSSAOUI AHMED</t>
  </si>
  <si>
    <t>M ESSELMA FETHI</t>
  </si>
  <si>
    <t>M HADJ ABDELKRIM</t>
  </si>
  <si>
    <t>M HADJOUTI ABDENOUR</t>
  </si>
  <si>
    <t>M HAMAMCHA ABDERRAOUF</t>
  </si>
  <si>
    <t>M LAIDOUNI YOUCEF</t>
  </si>
  <si>
    <t>M LEGAID SMAIN</t>
  </si>
  <si>
    <t>M MAZIZ BACHIR</t>
  </si>
  <si>
    <t>M MOUNA AMAR</t>
  </si>
  <si>
    <t>M OUADJENIA KADA</t>
  </si>
  <si>
    <t>M SLIMANI ABDELHAMID</t>
  </si>
  <si>
    <t>M YASSIN BENYABKA</t>
  </si>
  <si>
    <t>M ZERHOUNI NABIL</t>
  </si>
  <si>
    <t>M NOUAR RAOUF</t>
  </si>
  <si>
    <t>M SEBA HALFAOUI</t>
  </si>
  <si>
    <t>M BENZAIR MOHAMED ABDELHAMID</t>
  </si>
  <si>
    <t>M BOURENDJA BENDAOUD</t>
  </si>
  <si>
    <t>M SOUIER ABDELHAKIM</t>
  </si>
  <si>
    <t>M GHOMARI YOUCEF</t>
  </si>
  <si>
    <t>M BENABDALLAH NOUR EDDINE</t>
  </si>
  <si>
    <t>M CHIKHI MOHAMED AMINE</t>
  </si>
  <si>
    <t>M BOUZIANE MEFLAH NASREDDINE</t>
  </si>
  <si>
    <t>M MOKHTARI REDA ADEL</t>
  </si>
  <si>
    <t>M BERKATE ALI</t>
  </si>
  <si>
    <t>M CHABANE MAHFOUD</t>
  </si>
  <si>
    <t>M ZORKANI MOHAMED</t>
  </si>
  <si>
    <t>M MEGHICHE ABBES</t>
  </si>
  <si>
    <t>M RESFA NACERI BOUMEDIENE</t>
  </si>
  <si>
    <t>M TADJMOUT ABDELKADER</t>
  </si>
  <si>
    <t>M REZGANI REDDA MOURAD</t>
  </si>
  <si>
    <t>M KATEB ELHACHEMI AMAR MOHAMED</t>
  </si>
  <si>
    <t>M BOUHARICHE NASREDDINE</t>
  </si>
  <si>
    <t>M BOUCEKINE MOHAMMED</t>
  </si>
  <si>
    <t>M ALLAOUI YAHIA</t>
  </si>
  <si>
    <t>M BELALIA MOHAMED</t>
  </si>
  <si>
    <t>M SADEK DJAMEL</t>
  </si>
  <si>
    <t>M BENDELHOUM MOHAMED</t>
  </si>
  <si>
    <t>M BENATANACH MOHAMED</t>
  </si>
  <si>
    <t>M HADJ MOHAMMED NOUBA</t>
  </si>
  <si>
    <t>M DJAFRI NOUREDDINE</t>
  </si>
  <si>
    <t>M BENOUARETH BEKKA</t>
  </si>
  <si>
    <t>M ACHEHAT MUSTAPHA</t>
  </si>
  <si>
    <t>M DJAMAA MOHAMED BACHIR</t>
  </si>
  <si>
    <t>M BRIKCI SID ABDELHAK</t>
  </si>
  <si>
    <t>M MARCHOUD HOUARI</t>
  </si>
  <si>
    <t>M HAMANI NORDINE</t>
  </si>
  <si>
    <t>M RAHOU HABIB BADREDDINE</t>
  </si>
  <si>
    <t>M BOUZI MOHAMMED AMINE</t>
  </si>
  <si>
    <t>M MESSAOUDI MEROUAN</t>
  </si>
  <si>
    <t>M GUERRAOUI MOHAMMED AMINE</t>
  </si>
  <si>
    <t>M GHEDDAR ABDELKADER</t>
  </si>
  <si>
    <t>M LAZREUG MEJDOUB</t>
  </si>
  <si>
    <t>M CHIKHI LOUNES</t>
  </si>
  <si>
    <t>M BELAL AYMENE</t>
  </si>
  <si>
    <t>M DJAZIRI ZOHEIR</t>
  </si>
  <si>
    <t>M OUAHRANI AYMENE</t>
  </si>
  <si>
    <t>M BELLIL ABDELLAH</t>
  </si>
  <si>
    <t>M BOUHAIK BRAHIM</t>
  </si>
  <si>
    <t>M BOUMEDIENE LAKHDAR</t>
  </si>
  <si>
    <t>M SENOUCI MOHAMMED EL AMINE</t>
  </si>
  <si>
    <t>M HACHEMI HOUSSEM</t>
  </si>
  <si>
    <t>M ABBES YAHIA ABDELBAKI</t>
  </si>
  <si>
    <t>M ADDA ELHACENE BENALI</t>
  </si>
  <si>
    <t>M ANCER AHMED</t>
  </si>
  <si>
    <t>M BOUHARAOUA YOUNES</t>
  </si>
  <si>
    <t>M YESSAD ABDELMALIK</t>
  </si>
  <si>
    <t>M BENSALAH SOFIANE</t>
  </si>
  <si>
    <t>M TAHAR IMAD EDDINE</t>
  </si>
  <si>
    <t>M LASHEB FAROUK ABDELDJALIL LAHOUARI</t>
  </si>
  <si>
    <t>M KALLOUCH NEDJM EDDINE-RAMZI</t>
  </si>
  <si>
    <t>M TAHRAOUI SAIF-EDDINE</t>
  </si>
  <si>
    <t>M BENYAMINA WAIL ABDELMALEK</t>
  </si>
  <si>
    <t>M BENMOHAMMED MOHAMMED RAMZI</t>
  </si>
  <si>
    <t>M BENKORICH HAMZA</t>
  </si>
  <si>
    <t>M NOUALI MOHAMMED ELAMINE</t>
  </si>
  <si>
    <t>M AHMIED MOHAMMED</t>
  </si>
  <si>
    <t>M ZIANE CHERIF YOUCEF</t>
  </si>
  <si>
    <t>M EL BILOK ABDESSAMAD</t>
  </si>
  <si>
    <t>M BENCHERIF ALI</t>
  </si>
  <si>
    <t>M BEKKOUCHE BILEL</t>
  </si>
  <si>
    <t>M MECHETOUNE AOUED NOUR EL ISLAM WALID</t>
  </si>
  <si>
    <t>M AOUAICHIA ABDELHADI</t>
  </si>
  <si>
    <t>M ROUANE ILYES</t>
  </si>
  <si>
    <t>M MAHAMMED ISMAIL</t>
  </si>
  <si>
    <t>M BERREHOU ABDELWAHAB DJACIM</t>
  </si>
  <si>
    <t>M MEKKAKIA MAAZA MOHAMMED ANOUAR</t>
  </si>
  <si>
    <t>M SEMMAR MOHAMMED</t>
  </si>
  <si>
    <t>M BOURAYA WALID</t>
  </si>
  <si>
    <t>M BOUZIDI MOHAMMED</t>
  </si>
  <si>
    <t>M HATTAB ILIES</t>
  </si>
  <si>
    <t>M ACHOUR AHMED ABDELWAHAB</t>
  </si>
  <si>
    <t>M ARDJOUN BOUAZZA ADEL</t>
  </si>
  <si>
    <t>M BEKHTAOUI MOUSSA</t>
  </si>
  <si>
    <t>M BELMILOUD MUSTAPHA SALAH EEDDINE</t>
  </si>
  <si>
    <t>M BENAMAR AMINE</t>
  </si>
  <si>
    <t>M BENDENIA DJILLALI</t>
  </si>
  <si>
    <t>M BENSABEUR H'MIDA</t>
  </si>
  <si>
    <t>M BERKENNOU KHALED</t>
  </si>
  <si>
    <t>M BERNOU FOUAD</t>
  </si>
  <si>
    <t>M BOUALAM BILEL</t>
  </si>
  <si>
    <t>M BOUDJEMAA MOHAMED EL AMINE</t>
  </si>
  <si>
    <t>M BOUKHARI ABDELMOUNAIM ABDELLAH</t>
  </si>
  <si>
    <t>M BOURAADA DJAWED ABDESSAMED</t>
  </si>
  <si>
    <t>M BOUSAHBA YOUNES</t>
  </si>
  <si>
    <t>M CHALLA SALAH EDDINE</t>
  </si>
  <si>
    <t>M ZERGUIT LAKHDAR</t>
  </si>
  <si>
    <t>M ZEDDAM HABIB ABDELKADER</t>
  </si>
  <si>
    <t>M ZAID FAYCAL HOUSSEM EDDINE</t>
  </si>
  <si>
    <t>M DERKAOUI MOHAMED REDA</t>
  </si>
  <si>
    <t>M ELKTIRI AKRAM</t>
  </si>
  <si>
    <t>M GHARMOUL OMAR</t>
  </si>
  <si>
    <t>M REZAZGA SOUFIAN</t>
  </si>
  <si>
    <t>M RAHOU ZAKARIA</t>
  </si>
  <si>
    <t>M GUEDOUAH MOHAMED ISLAM</t>
  </si>
  <si>
    <t>M RAHLA HABIB</t>
  </si>
  <si>
    <t>M HAMADOUCHE DJELLOUL</t>
  </si>
  <si>
    <t>M HAMDOUN OUSSAMA</t>
  </si>
  <si>
    <t>M HAMIDI MOHAMED SOHEIB</t>
  </si>
  <si>
    <t>M HAMLILI ISMAIL</t>
  </si>
  <si>
    <t>M HASSANI MOKHTAR NAZIM</t>
  </si>
  <si>
    <t>M HENNI ABDELHALIM</t>
  </si>
  <si>
    <t>M LAHMIME HOUSSAM EDDINE</t>
  </si>
  <si>
    <t>M MADI MOHAMED EL AMINE</t>
  </si>
  <si>
    <t>M MESSAOUDENE MOHAMED SOUFIANE</t>
  </si>
  <si>
    <t>M NEHARI NASRALLAH</t>
  </si>
  <si>
    <t>M CHOUITER ISLEM</t>
  </si>
  <si>
    <t>M DEKICHE M'HAMED</t>
  </si>
  <si>
    <t>M AOUDJ HADJ MOHAMED AMINE</t>
  </si>
  <si>
    <t>M BOUDINAR MOHAMED REZOUG</t>
  </si>
  <si>
    <t>M ALIK ABDELKADER</t>
  </si>
  <si>
    <t>M BOUKHARI YOUCEF</t>
  </si>
  <si>
    <t>M MEHDANI KAMEL</t>
  </si>
  <si>
    <t>M BAGHARSA HOCINE</t>
  </si>
  <si>
    <t>M BENDADI HADJ-MOHAMED</t>
  </si>
  <si>
    <t>M ABDELAZIZ MOHAMMED FAROUK</t>
  </si>
  <si>
    <t>M KERROUMI ABDERRAHMENE</t>
  </si>
  <si>
    <t>M BELALIA YAZID</t>
  </si>
  <si>
    <t>M CHAIBDRAA AYOUB</t>
  </si>
  <si>
    <t>M OULED ALI ABDELMOUNAIM</t>
  </si>
  <si>
    <t>M TAHIDOUSTI ABDELMALEK</t>
  </si>
  <si>
    <t>M TCHEMMOUN WASSIM</t>
  </si>
  <si>
    <t>M BOUDAOUI MOHAMMED ISSAM</t>
  </si>
  <si>
    <t>M AYED MOHAMMED BENYEBKA</t>
  </si>
  <si>
    <t>M GHOMARI YACINE</t>
  </si>
  <si>
    <t>M HAOUI EL HADJ</t>
  </si>
  <si>
    <t>M SAFIR HAMED ABDELKEBIR</t>
  </si>
  <si>
    <t>M KROUNI IBRAHIM</t>
  </si>
  <si>
    <t>M HALASSA RAYANE</t>
  </si>
  <si>
    <t>M KAMEL BILEL</t>
  </si>
  <si>
    <t>M KEROUANE YOUNES</t>
  </si>
  <si>
    <t>M TAHIDOUSTI MOKHTAR</t>
  </si>
  <si>
    <t>M AMEUR ABDE ILLAH</t>
  </si>
  <si>
    <t>M LAREDJ MOHAMMED ABDELAZIZ</t>
  </si>
  <si>
    <t>M AMRY ABDELKARIM</t>
  </si>
  <si>
    <t>M MOKHTARI ABDERRAHMENE</t>
  </si>
  <si>
    <t>M NASRI MOHAMMED HICHEM</t>
  </si>
  <si>
    <t>M BELKACEM MOHAMMED EL HADI</t>
  </si>
  <si>
    <t>M EDDEBI HAITHEM</t>
  </si>
  <si>
    <t>M KHELIL MOHAMMED</t>
  </si>
  <si>
    <t>M HAMIDI ABDELKADER SOFIANE</t>
  </si>
  <si>
    <t>M HOCINE ISSLEM YOUCEF</t>
  </si>
  <si>
    <t>M MESSAOUD RAMDANE ABDELHADI</t>
  </si>
  <si>
    <t>M GASMI MOHAMED WALID</t>
  </si>
  <si>
    <t>M BENTAYEB ABDELHADI</t>
  </si>
  <si>
    <t>M FARES ABDELMADJID</t>
  </si>
  <si>
    <t>M ABABSA ISMAIL BOUDJEMAA</t>
  </si>
  <si>
    <t>M BENZEGUIR YOUCEF</t>
  </si>
  <si>
    <t>M BRAHMI NEDHIR</t>
  </si>
  <si>
    <t>M ABDELI AOUED ABD EL ILLAH</t>
  </si>
  <si>
    <t>M MILOUD BAICH ABDERRAHMANE</t>
  </si>
  <si>
    <t>M LAKEHAL EL HOUCINE</t>
  </si>
  <si>
    <t>M NEKROUF ABDELILLAH MANSOUR</t>
  </si>
  <si>
    <t>M SEIHOUB AHMED</t>
  </si>
  <si>
    <t>M BENAOUDA YOUCEF</t>
  </si>
  <si>
    <t>M GOUAL MOHAMMED SEIF EDDINE</t>
  </si>
  <si>
    <t>M AZZOUZ ISHAK</t>
  </si>
  <si>
    <t>M HAMZA ABDELKRIM</t>
  </si>
  <si>
    <t>M MIMOUN AHMED NOUR EL ISLEM</t>
  </si>
  <si>
    <t>M ABBES MAHDI CHAKIB</t>
  </si>
  <si>
    <t>M SALAH MOHAMMED EL NADIR</t>
  </si>
  <si>
    <t>M BOURY MOHAMMED AYOUB</t>
  </si>
  <si>
    <t>M MAIDI YASSER</t>
  </si>
  <si>
    <t>M MEJDOUBI KHEIR EDDINE</t>
  </si>
  <si>
    <t>M BRAHIM ABDELLLAH ILYAS</t>
  </si>
  <si>
    <t>M DIB RAYENE ZOUBIR</t>
  </si>
  <si>
    <t>M REZINE MOHAMMED YACINE</t>
  </si>
  <si>
    <t>M HANIF MOHAMMED</t>
  </si>
  <si>
    <t>M ABDREBBI MOHAMED ABDERRAHMEN</t>
  </si>
  <si>
    <t>M NEKKAL HAMZA</t>
  </si>
  <si>
    <t>M ABDALLAH TAMER</t>
  </si>
  <si>
    <t>M OUAHAB AYMENE</t>
  </si>
  <si>
    <t>M REZIG AMINE</t>
  </si>
  <si>
    <t>M BENMANSOUR HAYTEM</t>
  </si>
  <si>
    <t>M REBIB MOHAMED</t>
  </si>
  <si>
    <t>M BOUSSAID IBRAHIM</t>
  </si>
  <si>
    <t>M BENCHOHRA REDOUANE CHARF EDDINE</t>
  </si>
  <si>
    <t>M BENOUIS BELKHEIR SALAH EDDINE</t>
  </si>
  <si>
    <t>M BACHIR-BAY MOHAMMED ELAMINE</t>
  </si>
  <si>
    <t>M KRIM MEHDI</t>
  </si>
  <si>
    <t>M FEROUL IBRAHIM-ABDERREZAK</t>
  </si>
  <si>
    <t>M KERTOUTE FAYCAL</t>
  </si>
  <si>
    <t>M BENSAADA MOHAMMED WALID</t>
  </si>
  <si>
    <t>M KADIALLAH ZAKARIA</t>
  </si>
  <si>
    <t>M HAMDADA AISSA</t>
  </si>
  <si>
    <t>M BECHAKH NASREDDINE ILYES</t>
  </si>
  <si>
    <t>M LARIBI DJILALI</t>
  </si>
  <si>
    <t>M HADDAD MOURAD</t>
  </si>
  <si>
    <t>M ATALLAH HAMID</t>
  </si>
  <si>
    <t>M DRICI SACI</t>
  </si>
  <si>
    <t>M LARABI DORGHAM</t>
  </si>
  <si>
    <t>M MAGHAOUI KAFI</t>
  </si>
  <si>
    <t>M KHELIFI OMAR</t>
  </si>
  <si>
    <t>M LAZREG ABDELKADER</t>
  </si>
  <si>
    <t>M BENAOUDA HOUARI</t>
  </si>
  <si>
    <t>M BELBACHIR BOUBEKAR SEDDIK</t>
  </si>
  <si>
    <t>M DOUANE MAKHLOUF</t>
  </si>
  <si>
    <t>M BOUHADIBA MOHAMMED</t>
  </si>
  <si>
    <t>M RAHMOUNI MOHAMED EL AMINE</t>
  </si>
  <si>
    <t>M ZITOUNI BACHIR</t>
  </si>
  <si>
    <t>M MEDBOUHI MOHAMMED DJAZOULI</t>
  </si>
  <si>
    <t>M YAHIAOUI HASNI</t>
  </si>
  <si>
    <t>M BOUKHATEM M'HAMED</t>
  </si>
  <si>
    <t>M ZELBAH KADA</t>
  </si>
  <si>
    <t>M BOUSMAHA KARIM</t>
  </si>
  <si>
    <t>M ADJINA BOUMEDIENE</t>
  </si>
  <si>
    <t>M HADRI DJEFFAL KOUIDER</t>
  </si>
  <si>
    <t>M ADDOU ABDELKARIM</t>
  </si>
  <si>
    <t>M BABA HAMED HADJ ABBES</t>
  </si>
  <si>
    <t>M NIMOUR SALAH</t>
  </si>
  <si>
    <t>M BENAZZOUZ NOUR-EDDINE</t>
  </si>
  <si>
    <t>M BENKREIRA SOFIANE</t>
  </si>
  <si>
    <t>M HADDADI AMINE</t>
  </si>
  <si>
    <t>M ROUMANE BENCHERKI</t>
  </si>
  <si>
    <t>M BIBI AMAR</t>
  </si>
  <si>
    <t>M BELAID ABDELAZIZ</t>
  </si>
  <si>
    <t>M GACEM REDA</t>
  </si>
  <si>
    <t>M DJATOU MOHAMMED EL AMINE</t>
  </si>
  <si>
    <t>M KORSO-FECIANE SAMIR</t>
  </si>
  <si>
    <t>M MERBAH MOHAMED AMINE</t>
  </si>
  <si>
    <t>M TCHENAR ADNANE ABDERRAHMANE</t>
  </si>
  <si>
    <t>M GUELLIL ALI</t>
  </si>
  <si>
    <t>M LARGAT EL HASSEN</t>
  </si>
  <si>
    <t>M BOUHEND BENYAHIA</t>
  </si>
  <si>
    <t>M BENSAFI BOUMEDIENE</t>
  </si>
  <si>
    <t>M LAKJA AHMED</t>
  </si>
  <si>
    <t>M HAMADOUCHE SADDAM</t>
  </si>
  <si>
    <t>M BELKACEMI MOHAMED</t>
  </si>
  <si>
    <t>M BOUSSOUIFA KADA</t>
  </si>
  <si>
    <t>M BOUCENNA NABIL</t>
  </si>
  <si>
    <t>M BENCHEHIDA ABDEREZAK</t>
  </si>
  <si>
    <t>M MEZERAI ABDELWAHAB</t>
  </si>
  <si>
    <t>M BELAIDI MOHAMMED AMINE</t>
  </si>
  <si>
    <t>M KOHLI MOHAMMED EL AMINE</t>
  </si>
  <si>
    <t>M LABIOD MOHAMMED EL AMINE</t>
  </si>
  <si>
    <t>M LAKHDARI MOHAMMED</t>
  </si>
  <si>
    <t>M MAHIDDINI ABDERRAHMAN</t>
  </si>
  <si>
    <t>M HERRADI MOHAMMED NADIR</t>
  </si>
  <si>
    <t>M KADI ALLAH ABDELHAK</t>
  </si>
  <si>
    <t>M HADJIJ MEROUANE</t>
  </si>
  <si>
    <t>M KHACHAI ILIAS ALLAL</t>
  </si>
  <si>
    <t>M DIDI YAHIA</t>
  </si>
  <si>
    <t>M TAHA ALI CHERIF</t>
  </si>
  <si>
    <t>M ZEROUALI MENACER</t>
  </si>
  <si>
    <t>M LOUERRAD EL HABIB</t>
  </si>
  <si>
    <t>M HAOUI MOHAMED</t>
  </si>
  <si>
    <t>M TIGHENIFINE MAHIEDDINE</t>
  </si>
  <si>
    <t>M DARRAB ADEL</t>
  </si>
  <si>
    <t>M SACI MAHMOUD</t>
  </si>
  <si>
    <t>M ABDELHALIM ABDELKADER</t>
  </si>
  <si>
    <t>M BENDJEBARA NOURI</t>
  </si>
  <si>
    <t>M KOURDACHE SALAH</t>
  </si>
  <si>
    <t>M KADA KELLOUCHA KAMEL MUSTAPHA</t>
  </si>
  <si>
    <t>M HOCINI ABDERRAZAK</t>
  </si>
  <si>
    <t>M DERMECHE HACENE</t>
  </si>
  <si>
    <t>M BELBARI SOFIANE</t>
  </si>
  <si>
    <t>M CHALABI MOHAMED FETHI</t>
  </si>
  <si>
    <t>M HOCINE HOCINE</t>
  </si>
  <si>
    <t>M BOUZOUINA ALI</t>
  </si>
  <si>
    <t>M BELKESSA MOHAMED</t>
  </si>
  <si>
    <t>M SEBBAH WALID</t>
  </si>
  <si>
    <t>M MENSOUS SIDAHMED-ELHOUCINE</t>
  </si>
  <si>
    <t>M MESLEM OTMANE</t>
  </si>
  <si>
    <t>M TORRICHI ZAKARIA</t>
  </si>
  <si>
    <t>M ZEDIRI ALI</t>
  </si>
  <si>
    <t>M AYOUN SAMIR</t>
  </si>
  <si>
    <t>M BOUDJEMAA MOHAMED AMINE</t>
  </si>
  <si>
    <t>M AZZOUG M'HAND SAADI</t>
  </si>
  <si>
    <t>M BENABDALLAH SOFIANE</t>
  </si>
  <si>
    <t>M KOLLI KHALED</t>
  </si>
  <si>
    <t>M BENKAMRA ABDERRAHMANE</t>
  </si>
  <si>
    <t>M AOUFI TAYEB</t>
  </si>
  <si>
    <t>M SLIMANI MOHAMED</t>
  </si>
  <si>
    <t>M CHALABI OMAR</t>
  </si>
  <si>
    <t>M OTMANI NADIR</t>
  </si>
  <si>
    <t>M BELAS IBRAHIM</t>
  </si>
  <si>
    <t>M HASSANI DJAMEL</t>
  </si>
  <si>
    <t>M KROUNI FETHALLAH</t>
  </si>
  <si>
    <t>M GOUCHAM BOUDAOUD</t>
  </si>
  <si>
    <t>M CHEMLAL AHMED MOHAMED ANIS</t>
  </si>
  <si>
    <t>M BENABDELMOUMENE LAHOUARI</t>
  </si>
  <si>
    <t>M AMARA AMAR</t>
  </si>
  <si>
    <t>M MOKRANI ZAKARIA</t>
  </si>
  <si>
    <t>M KHALADI ZAKARIA</t>
  </si>
  <si>
    <t>M KELLEL SOFIANE</t>
  </si>
  <si>
    <t>M KEDDAR MOHAMMED</t>
  </si>
  <si>
    <t>M KADI MOHAMED AMINE</t>
  </si>
  <si>
    <t>M KHELIFA OMAR</t>
  </si>
  <si>
    <t>M KHIATI TEWFIK</t>
  </si>
  <si>
    <t>M KHELIFA MOHAMMED FATEH</t>
  </si>
  <si>
    <t>M KHODJA BRAHIM</t>
  </si>
  <si>
    <t>M IFTENE AREZKI</t>
  </si>
  <si>
    <t>M BENOUTI ABDELKRIM</t>
  </si>
  <si>
    <t>M ABDELKADER BELKACEM</t>
  </si>
  <si>
    <t>M KADDOUR ABDERRAHMANE HOUARI</t>
  </si>
  <si>
    <t>M BELLAKHDAR SID AHMED</t>
  </si>
  <si>
    <t>M FRAHI ALI</t>
  </si>
  <si>
    <t>M HAMRIT MOHAMED AMINE</t>
  </si>
  <si>
    <t>M NEGAIBI YOUNES</t>
  </si>
  <si>
    <t>M TAHRI ABDERRAHMANE</t>
  </si>
  <si>
    <t>M GAID ABDELKADER</t>
  </si>
  <si>
    <t>M CHENINE MOHAMED</t>
  </si>
  <si>
    <t>M AMMOUR ABDELKADER</t>
  </si>
  <si>
    <t>M GHALEM ABDELMADJID</t>
  </si>
  <si>
    <t>M ZERIGUI AHMED</t>
  </si>
  <si>
    <t>M EL KRIM FOUZI</t>
  </si>
  <si>
    <t>M MEKRABECH MOSTEFA</t>
  </si>
  <si>
    <t>M GOUAICH MOHAMED TAYEB</t>
  </si>
  <si>
    <t>M AZZOUZ BENSELLOUA FARID</t>
  </si>
  <si>
    <t>M CHEHIDA ABDELHAFID</t>
  </si>
  <si>
    <t>M BELHADJ BENAOUDA</t>
  </si>
  <si>
    <t>M BOUAZZA KHALED</t>
  </si>
  <si>
    <t>M OUADRINE ALI</t>
  </si>
  <si>
    <t>M MELLAH MOHAMED</t>
  </si>
  <si>
    <t>M MERZOUG WAHBI</t>
  </si>
  <si>
    <t>M KHADAOUI MILOUD</t>
  </si>
  <si>
    <t>M CHAIB BENCHAIB</t>
  </si>
  <si>
    <t>M DAOUADJI EL HADJ</t>
  </si>
  <si>
    <t>M MEDJAHED ABDELALI</t>
  </si>
  <si>
    <t>M ELKADI ALI CHERIF</t>
  </si>
  <si>
    <t>M MELIANI MAIDA BRAHIM</t>
  </si>
  <si>
    <t>M MIMOUCHE SAID</t>
  </si>
  <si>
    <t>M BOURIDANE MOHAMED</t>
  </si>
  <si>
    <t>M NESSAI BOUMEDIENE</t>
  </si>
  <si>
    <t>M BENSAHA ABDELHAK</t>
  </si>
  <si>
    <t>M DRID MUSTAPHA EL AMINE</t>
  </si>
  <si>
    <t>M MANSOURI DJALLEL</t>
  </si>
  <si>
    <t>M BENBERBER HADJ</t>
  </si>
  <si>
    <t>M CHAOUCH ABDELHALIM</t>
  </si>
  <si>
    <t>M TERKHI ABDELKADER</t>
  </si>
  <si>
    <t>M BACHIR BELMEHDI BELKACEM</t>
  </si>
  <si>
    <t>M LAZREG FAYCAL</t>
  </si>
  <si>
    <t>M HAMLAT ABDELMADJID</t>
  </si>
  <si>
    <t>M BELKADI HOUARI</t>
  </si>
  <si>
    <t>M ABDELLAOUI ALI</t>
  </si>
  <si>
    <t>M ALEM DJEBBAR SALAH EDDINE</t>
  </si>
  <si>
    <t>M BELABID BRAHIM</t>
  </si>
  <si>
    <t>M BELHACHEMI MOHAMMED</t>
  </si>
  <si>
    <t>M BELOUFA MOHAMMED</t>
  </si>
  <si>
    <t>M BENAMARI MOHAMMED</t>
  </si>
  <si>
    <t>M BENHENNI IBRAHIM</t>
  </si>
  <si>
    <t>M BENOURRAD FAROUK</t>
  </si>
  <si>
    <t>M BENSABEUR MUSTAPHA AMINE</t>
  </si>
  <si>
    <t>M BENSLIMANE MOHAMMED AMINE</t>
  </si>
  <si>
    <t>M BEZTOUT ABDELGHANI</t>
  </si>
  <si>
    <t>M BOUHAFSI DJABALLAH</t>
  </si>
  <si>
    <t>M FORLOUL YOUCEF</t>
  </si>
  <si>
    <t>M HABIBECHE SALAH EDDINE</t>
  </si>
  <si>
    <t>M HAOUI MOHAMED AMINE</t>
  </si>
  <si>
    <t>M KHATTABI MOHAMMED AMIN</t>
  </si>
  <si>
    <t>M KIOUR AHMED</t>
  </si>
  <si>
    <t>M LABBACI HOUSNY</t>
  </si>
  <si>
    <t>M LAROUSSI SOFIANE BACHIR</t>
  </si>
  <si>
    <t>M MAHDJOUB ZAKARIA</t>
  </si>
  <si>
    <t>M RAHIM ABDELKRIM</t>
  </si>
  <si>
    <t>M SEBAH SID AHMED</t>
  </si>
  <si>
    <t>M DAIRI MADJID</t>
  </si>
  <si>
    <t>M BELHEZIEL MOHAMMED AMINE ABDELHAK</t>
  </si>
  <si>
    <t>M BELYAKDOUMI LAZREG</t>
  </si>
  <si>
    <t>M BENSADOUN SID AHMED</t>
  </si>
  <si>
    <t>M LOUMANI OUSSAMA</t>
  </si>
  <si>
    <t>M CHEKKAL IMED</t>
  </si>
  <si>
    <t>M KOUIDER HAMZA</t>
  </si>
  <si>
    <t>M SAHNOUN MOHAMMED TARIK HADI</t>
  </si>
  <si>
    <t>M TAYEB-BEY ABDELHAK</t>
  </si>
  <si>
    <t>M TOUATI REZKI</t>
  </si>
  <si>
    <t>M TOULA MOHAMMED</t>
  </si>
  <si>
    <t>M NEMER KHENIFI</t>
  </si>
  <si>
    <t>M BACHIR BACHIR</t>
  </si>
  <si>
    <t>M SEIHOUB MOHAMED</t>
  </si>
  <si>
    <t>M BENHAMMOU SOFIANE</t>
  </si>
  <si>
    <t>M MEKHATRIA YOUSSEF</t>
  </si>
  <si>
    <t>M KHALED MANSOUR</t>
  </si>
  <si>
    <t>M BOURI MOHAMED</t>
  </si>
  <si>
    <t>M BESSAYAH LAHOUARI</t>
  </si>
  <si>
    <t>M AID AHMED - OUALID</t>
  </si>
  <si>
    <t>M BEHIH MOHAMMED</t>
  </si>
  <si>
    <t>M BOUGHARI MUSTAPHA</t>
  </si>
  <si>
    <t>M FOUKA FOUAD MOHAMED</t>
  </si>
  <si>
    <t>M HADDAR TARIK</t>
  </si>
  <si>
    <t>M HADRI DJEFFAL IBRAHIM</t>
  </si>
  <si>
    <t>M HAMRA EL HADJ ABDELKADER</t>
  </si>
  <si>
    <t>M KORICHE MOHAMMED EL FAROUQ</t>
  </si>
  <si>
    <t>M MAARER ABDERRAZEK</t>
  </si>
  <si>
    <t>M OSMANI ABDELKADER</t>
  </si>
  <si>
    <t>M BENDERDOUCH ELHADJ-MOHAMMED</t>
  </si>
  <si>
    <t>M BOUAZDIA SAHRAOUI</t>
  </si>
  <si>
    <t>M HAMIDI NOUR-EDDINE</t>
  </si>
  <si>
    <t>M KHELLAF AHMED</t>
  </si>
  <si>
    <t>M AMRANI SAID</t>
  </si>
  <si>
    <t>M BOUKRA DJELLAL SAIAH KARIM</t>
  </si>
  <si>
    <t>M BOURI HADJ SAID</t>
  </si>
  <si>
    <t>M BOUZEFRANE NOUREDDINE</t>
  </si>
  <si>
    <t>M M'RAH MOHAMED AMINE</t>
  </si>
  <si>
    <t>M BENSAADA HABIB</t>
  </si>
  <si>
    <t>M TIR LAHOUARI</t>
  </si>
  <si>
    <t>M CHERCHER HAMOU</t>
  </si>
  <si>
    <t>M BOUALGA CHAKIB HSSINE</t>
  </si>
  <si>
    <t>M AOUAD MOKHTAR ZACCARIA</t>
  </si>
  <si>
    <t>M DALACHI MOKHTAR</t>
  </si>
  <si>
    <t>M HAMDAOUI HOUARI</t>
  </si>
  <si>
    <t>M BELARBI AHMED</t>
  </si>
  <si>
    <t>M DAHOU ABDERRAHIM</t>
  </si>
  <si>
    <t>M TOUALA CHAILA NABIL</t>
  </si>
  <si>
    <t>M AISSANI RACHED</t>
  </si>
  <si>
    <t>M BAKHTAOUI MOHAMED</t>
  </si>
  <si>
    <t>M BOUKHELIF LAHOUARI</t>
  </si>
  <si>
    <t>M ZIDI RACHED</t>
  </si>
  <si>
    <t>M LITIM SIDI MOHAMED</t>
  </si>
  <si>
    <t>M BENAHMED AISSA LAID</t>
  </si>
  <si>
    <t>M BEN TAHAR OUSSAMA HOUARI</t>
  </si>
  <si>
    <t>M LAHRECHE MOHAMED</t>
  </si>
  <si>
    <t>M TOUIL ABDENOUR BELKACEM</t>
  </si>
  <si>
    <t>M MEHNANE MOHAMMED ESSEDIK</t>
  </si>
  <si>
    <t>M ALI MOUSSA OMAR</t>
  </si>
  <si>
    <t>M BENMOHAMED OUSSAMA</t>
  </si>
  <si>
    <t>M BELOUZ MOHAMMED ALAA EDDINE</t>
  </si>
  <si>
    <t>M GHOUTI IMED EDDINE</t>
  </si>
  <si>
    <t>M BOURABAH OUSSAMA</t>
  </si>
  <si>
    <t>M KHELLAFI SMAIL</t>
  </si>
  <si>
    <t>M MAHRAZ MOHAMMED</t>
  </si>
  <si>
    <t>M KOUHLI MOHAMMED ISLEM</t>
  </si>
  <si>
    <t>M BORDJI AKRAM</t>
  </si>
  <si>
    <t>M CHAREF HOUARI</t>
  </si>
  <si>
    <t>M ARBI ZAKARIA</t>
  </si>
  <si>
    <t>M LARIBI ABED OUSSAMA</t>
  </si>
  <si>
    <t>M AISSA ADEM</t>
  </si>
  <si>
    <t>M MADANI WALID</t>
  </si>
  <si>
    <t>M BENTIBA MOHAMED SOFIANE</t>
  </si>
  <si>
    <t>M HOUARI ALAEDDINE</t>
  </si>
  <si>
    <t>M CHEKIKENE LOUNES</t>
  </si>
  <si>
    <t>M ALI ABDEMOUMENE</t>
  </si>
  <si>
    <t>M MAMECHE WALID</t>
  </si>
  <si>
    <t>M DAOUDI DAHMAN</t>
  </si>
  <si>
    <t>M KHERFI ZAKARIA</t>
  </si>
  <si>
    <t>M NEDJAR KAMEL</t>
  </si>
  <si>
    <t>M DERKAOUI ALI</t>
  </si>
  <si>
    <t>M KABOUCHE KADA</t>
  </si>
  <si>
    <t>M DOUKALI AHMED</t>
  </si>
  <si>
    <t>M MAHIEDDIN RABEI CHERIF</t>
  </si>
  <si>
    <t>M BELFOUL ALI</t>
  </si>
  <si>
    <t>M BELKACEM MOHAMMED</t>
  </si>
  <si>
    <t>M SABEUR BETTAHAR</t>
  </si>
  <si>
    <t>M ZERROUALI OMAR</t>
  </si>
  <si>
    <t>M MOHCINI ABDEL ILLAH</t>
  </si>
  <si>
    <t>M GUELLICHA YAHIA</t>
  </si>
  <si>
    <t>M SOUANE KADA</t>
  </si>
  <si>
    <t>M BOUMEDIENE MOHAMMED</t>
  </si>
  <si>
    <t>M BELKHELFA MOHAMMED</t>
  </si>
  <si>
    <t>M RAHAL ABDELKADER ANAS</t>
  </si>
  <si>
    <t>M BOUKHS MOHAMMED</t>
  </si>
  <si>
    <t>M REKAD MENOUAR</t>
  </si>
  <si>
    <t>M BOUAZZA MOHAMED EL AMINE</t>
  </si>
  <si>
    <t>M SOUILLAH FATEH</t>
  </si>
  <si>
    <t>M HALIMI ABDELKADER</t>
  </si>
  <si>
    <t>M BOUZID SID AHMED</t>
  </si>
  <si>
    <t>M TOUIL MOHAMED ADEL</t>
  </si>
  <si>
    <t>M BOURI OMAR</t>
  </si>
  <si>
    <t>M BOUAMER MOHAMMED AMINE</t>
  </si>
  <si>
    <t>M BENDERDOUCHE AHMED</t>
  </si>
  <si>
    <t>Mme CHEROUATI HAFSA</t>
  </si>
  <si>
    <t>Mme MAHROUR FAYROUZ</t>
  </si>
  <si>
    <t>Mme OUADHI ISMA</t>
  </si>
  <si>
    <t>Mme NIMOUR NOURA</t>
  </si>
  <si>
    <t>Mme BOUGHERARA SOUHILA</t>
  </si>
  <si>
    <t>Mme GHABBI KHEIRA</t>
  </si>
  <si>
    <t>Mme SAADI LAHOUARIA</t>
  </si>
  <si>
    <t>Mme AOUMEUR NABILA</t>
  </si>
  <si>
    <t>Mme ABBOUN ABID AHLEM</t>
  </si>
  <si>
    <t>Mme BELLI NOURHANE</t>
  </si>
  <si>
    <t>Mme SAFER MERIEM</t>
  </si>
  <si>
    <t>Mme BELLOUNAR HANENE</t>
  </si>
  <si>
    <t>Mme BOUALGA FADIA</t>
  </si>
  <si>
    <t>Mme LIMAM ASSIA</t>
  </si>
  <si>
    <t>Mme BAROUDI SOUHILA</t>
  </si>
  <si>
    <t>Mme BELAOUEDJ HASSIBA</t>
  </si>
  <si>
    <t>Mme BESSAID BOUCHRA SARAH</t>
  </si>
  <si>
    <t>Mme REFTAOUI YASMINE</t>
  </si>
  <si>
    <t>Mme MEKKAOUI RANIA</t>
  </si>
  <si>
    <t>Mme SADOK MANAR HIDAYET</t>
  </si>
  <si>
    <t>Mme CHAKER IKRAM</t>
  </si>
  <si>
    <t>Mme BENYAHIA AMINA</t>
  </si>
  <si>
    <t>Mme BERRADIA AMEL</t>
  </si>
  <si>
    <t>Mme GAAD ANISSA</t>
  </si>
  <si>
    <t>Mme ARABECHE BOCHRA</t>
  </si>
  <si>
    <t>Mme ANBRI FATIMA ZOHRA</t>
  </si>
  <si>
    <t>Mme BELHACHEMI NARIMENE</t>
  </si>
  <si>
    <t>Mme BELHADJ MEROUA</t>
  </si>
  <si>
    <t>Mme BENTAHAR SELMA NIHAD</t>
  </si>
  <si>
    <t>Mme BOUHADDA HASSIBA</t>
  </si>
  <si>
    <t>Mme CHABANE BOUCHRA</t>
  </si>
  <si>
    <t>Mme ZEDDAM MARWA AICHA</t>
  </si>
  <si>
    <t>Mme ZAHI SIHEM</t>
  </si>
  <si>
    <t>Mme DJEBBAR FATIMA ZOHRA CHAHINEZ</t>
  </si>
  <si>
    <t>Mme SOUABER IKRAM</t>
  </si>
  <si>
    <t>Mme SALHAOUI FATIMA ZOHRA</t>
  </si>
  <si>
    <t>Mme OSMANE RANIA</t>
  </si>
  <si>
    <t>Mme HAMIDI BOUTHAINA FATIMA ZOHRA</t>
  </si>
  <si>
    <t>Mme MANSOURI FATIMA ZOHRA</t>
  </si>
  <si>
    <t>Mme CHERIGUI NEDJMAA</t>
  </si>
  <si>
    <t>Mme BOURI FATIMA</t>
  </si>
  <si>
    <t>Mme SEBAA HADJER</t>
  </si>
  <si>
    <t>Mme BENAYAD ANFEL</t>
  </si>
  <si>
    <t>Mme SABRI SARA</t>
  </si>
  <si>
    <t>Mme DJEMAOUI KAWTHER</t>
  </si>
  <si>
    <t>Mme BENCHEIKH YASMINA</t>
  </si>
  <si>
    <t>Mme BOUMOUNGAR NOUR EL HOUDA</t>
  </si>
  <si>
    <t>Mme BENABBAS HIBAT ERRAHMENE HAMIDA</t>
  </si>
  <si>
    <t>Mme KHEMACHI TASNIME FATIMA</t>
  </si>
  <si>
    <t>Mme SABEUR SARA</t>
  </si>
  <si>
    <t>Mme DJEZAR FATIMA ZOHRA</t>
  </si>
  <si>
    <t>Mme KHALED NADJAH MALAK</t>
  </si>
  <si>
    <t>Mme AICHE HAYET</t>
  </si>
  <si>
    <t>Mme ZIDI MALIKA AICHA</t>
  </si>
  <si>
    <t>Mme BERKANE HOURIA</t>
  </si>
  <si>
    <t>Mme BOUKHARI NOR EL HOUDA</t>
  </si>
  <si>
    <t>Mme CHOHRA KAWTHER</t>
  </si>
  <si>
    <t>Mme DERMECHE SARRA</t>
  </si>
  <si>
    <t>Mme REDJIMI KAWTHER</t>
  </si>
  <si>
    <t>Mme TAHAR BELKRATEUR RANIA NOUR EL HOU</t>
  </si>
  <si>
    <t>Mme BOUFELDJA BOUCHRA</t>
  </si>
  <si>
    <t>Mme TADJEDDINE IKRAM</t>
  </si>
  <si>
    <t>Mme BENMIMOUNE WAFAA</t>
  </si>
  <si>
    <t>Mme GACEM KHEIRA</t>
  </si>
  <si>
    <t>Mme BATOUCHE CHAIMAA</t>
  </si>
  <si>
    <t>Mme FELLAH YAMINA</t>
  </si>
  <si>
    <t>Mme BENATTA FERIEL</t>
  </si>
  <si>
    <t>Mme BELAMEIRI ASMAA</t>
  </si>
  <si>
    <t>Mme BENLABBAS AICHA</t>
  </si>
  <si>
    <t>Mme KADRI OUAHIBA</t>
  </si>
  <si>
    <t>Mme NOUBA MANAL</t>
  </si>
  <si>
    <t>Mme BEKAI IMENE</t>
  </si>
  <si>
    <t>Mme BENDELLAA RAMILA CHAHINEZ</t>
  </si>
  <si>
    <t>Mme BAKHTI ASMAHAN</t>
  </si>
  <si>
    <t>Mme CHERFAOUI SALIMA</t>
  </si>
  <si>
    <t>Mme BOUNOUIGA OUERDIA</t>
  </si>
  <si>
    <t>Mme KADDOUR SOUAD</t>
  </si>
  <si>
    <t>Mme DJENANE LEILA</t>
  </si>
  <si>
    <t>Mme CERRA CHERRAKA FAIZA</t>
  </si>
  <si>
    <t>Mme BELDJOUHER MAROUA</t>
  </si>
  <si>
    <t>Mme AKEB-DAOUD YAMNA</t>
  </si>
  <si>
    <t>Mme ABBACI LINA</t>
  </si>
  <si>
    <t>Mme MANSOURI CHAHINEZ</t>
  </si>
  <si>
    <t>Mme BRAHIMI SAMIHA</t>
  </si>
  <si>
    <t>Mme HARBI MAROUA</t>
  </si>
  <si>
    <t>Mme SEMAOUN AMEL</t>
  </si>
  <si>
    <t>Mme AMIRI AYA</t>
  </si>
  <si>
    <t>Mme BEDDIAF YASMINE</t>
  </si>
  <si>
    <t>Mme MILOUDI HAFSA</t>
  </si>
  <si>
    <t>Mme NEKAB NADIA</t>
  </si>
  <si>
    <t>Mme LATTAB SAMIRA</t>
  </si>
  <si>
    <t>Mme BERRIAH SIHAM</t>
  </si>
  <si>
    <t>Mme CHEMLOUL FARAH</t>
  </si>
  <si>
    <t>Mme IKHLEF AMINA</t>
  </si>
  <si>
    <t>SAISIE NOTE D'INFORMATION MALADIE</t>
  </si>
  <si>
    <t>Type de congé</t>
  </si>
  <si>
    <t>Date de réception</t>
  </si>
  <si>
    <t>Début congé</t>
  </si>
  <si>
    <t>Fin congé</t>
  </si>
  <si>
    <t>Catégorie de paiement</t>
  </si>
  <si>
    <t>Absence contrôle medical CNAS</t>
  </si>
  <si>
    <t>Nom &amp; Prénom</t>
  </si>
  <si>
    <t>N° SS</t>
  </si>
  <si>
    <t>OBTENTION DU MATRICULE</t>
  </si>
  <si>
    <t>Le Chef De Service gestion/paie</t>
  </si>
  <si>
    <t>L. BENMEDJAHED</t>
  </si>
  <si>
    <t>NOM ET PRENOM S</t>
  </si>
  <si>
    <t>POSTE S</t>
  </si>
  <si>
    <t>jour,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</si>
</sst>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4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rgb="FFC0BFB0"/>
      <name val="Calibri"/>
      <family val="2"/>
      <charset val="1"/>
    </font>
    <font>
      <b/>
      <sz val="12"/>
      <color theme="0"/>
      <name val="Calibri"/>
      <family val="2"/>
    </font>
    <font>
      <sz val="9"/>
      <color rgb="FFC0BFB0"/>
      <name val="Calibri"/>
      <family val="2"/>
      <charset val="1"/>
    </font>
    <font>
      <b/>
      <sz val="18"/>
      <color rgb="FFFFFFFF"/>
      <name val="Calibri"/>
      <family val="2"/>
    </font>
    <font>
      <b/>
      <sz val="12"/>
      <color theme="7" tint="0.3999755851924192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C2C2A"/>
        <bgColor indexed="64"/>
      </patternFill>
    </fill>
    <fill>
      <patternFill patternType="solid">
        <fgColor rgb="FF1A1A19"/>
        <bgColor indexed="64"/>
      </patternFill>
    </fill>
    <fill>
      <patternFill patternType="solid">
        <fgColor rgb="FF5A2781"/>
        <bgColor rgb="FFFF808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rgb="FFB8B8B8"/>
      </left>
      <right/>
      <top style="medium">
        <color rgb="FFB8B8B8"/>
      </top>
      <bottom/>
      <diagonal/>
    </border>
    <border>
      <left style="medium">
        <color rgb="FFB8B8B8"/>
      </left>
      <right/>
      <top/>
      <bottom style="medium">
        <color rgb="FFB8B8B8"/>
      </bottom>
      <diagonal/>
    </border>
    <border>
      <left/>
      <right style="medium">
        <color rgb="FFB8B8B8"/>
      </right>
      <top style="medium">
        <color rgb="FFB8B8B8"/>
      </top>
      <bottom/>
      <diagonal/>
    </border>
    <border>
      <left/>
      <right style="medium">
        <color rgb="FFB8B8B8"/>
      </right>
      <top/>
      <bottom style="medium">
        <color rgb="FFB8B8B8"/>
      </bottom>
      <diagonal/>
    </border>
    <border>
      <left/>
      <right style="medium">
        <color rgb="FFB8B8B8"/>
      </right>
      <top/>
      <bottom/>
      <diagonal/>
    </border>
    <border>
      <left style="medium">
        <color rgb="FFB8B8B8"/>
      </left>
      <right/>
      <top/>
      <bottom/>
      <diagonal/>
    </border>
    <border>
      <left style="medium">
        <color rgb="FFB8B8B8"/>
      </left>
      <right style="medium">
        <color rgb="FFB8B8B8"/>
      </right>
      <top style="medium">
        <color rgb="FFB8B8B8"/>
      </top>
      <bottom/>
      <diagonal/>
    </border>
    <border>
      <left style="medium">
        <color rgb="FFB8B8B8"/>
      </left>
      <right style="medium">
        <color rgb="FFB8B8B8"/>
      </right>
      <top/>
      <bottom style="medium">
        <color rgb="FFB8B8B8"/>
      </bottom>
      <diagonal/>
    </border>
    <border>
      <left style="medium">
        <color rgb="FFB8B8B8"/>
      </left>
      <right/>
      <top style="medium">
        <color rgb="FFB8B8B8"/>
      </top>
      <bottom style="medium">
        <color rgb="FFB8B8B8"/>
      </bottom>
      <diagonal/>
    </border>
    <border>
      <left/>
      <right style="medium">
        <color rgb="FFB8B8B8"/>
      </right>
      <top style="medium">
        <color rgb="FFB8B8B8"/>
      </top>
      <bottom style="medium">
        <color rgb="FFB8B8B8"/>
      </bottom>
      <diagonal/>
    </border>
  </borders>
  <cellStyleXfs count="3">
    <xf numFmtId="0" fontId="0" fillId="0" borderId="0"/>
    <xf numFmtId="0" fontId="12" fillId="0" borderId="14">
      <alignment vertical="center"/>
      <protection locked="0"/>
    </xf>
    <xf numFmtId="0" fontId="15" fillId="0" borderId="0"/>
  </cellStyleXfs>
  <cellXfs count="93">
    <xf numFmtId="0" fontId="0" fillId="0" borderId="0" xfId="0"/>
    <xf numFmtId="0" fontId="9" fillId="2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1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13" fillId="0" borderId="0" xfId="0" applyFont="1"/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11" fillId="0" borderId="14" xfId="0" applyFont="1" applyBorder="1" applyAlignment="1">
      <alignment horizontal="left" vertical="center"/>
    </xf>
    <xf numFmtId="14" fontId="14" fillId="2" borderId="16" xfId="0" applyNumberFormat="1" applyFont="1" applyFill="1" applyBorder="1" applyAlignment="1">
      <alignment horizontal="center" vertical="center"/>
    </xf>
    <xf numFmtId="14" fontId="11" fillId="0" borderId="14" xfId="0" applyNumberFormat="1" applyFont="1" applyBorder="1" applyAlignment="1">
      <alignment horizontal="center" vertical="center"/>
    </xf>
    <xf numFmtId="14" fontId="0" fillId="0" borderId="0" xfId="0" applyNumberFormat="1"/>
    <xf numFmtId="0" fontId="11" fillId="4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0" xfId="0" applyFill="1"/>
    <xf numFmtId="0" fontId="1" fillId="9" borderId="1" xfId="0" applyFont="1" applyFill="1" applyBorder="1"/>
    <xf numFmtId="0" fontId="2" fillId="9" borderId="1" xfId="0" applyFont="1" applyFill="1" applyBorder="1" applyAlignment="1">
      <alignment vertical="top" wrapText="1"/>
    </xf>
    <xf numFmtId="14" fontId="2" fillId="9" borderId="1" xfId="0" applyNumberFormat="1" applyFont="1" applyFill="1" applyBorder="1" applyAlignment="1">
      <alignment vertical="center"/>
    </xf>
    <xf numFmtId="0" fontId="1" fillId="9" borderId="4" xfId="0" applyFont="1" applyFill="1" applyBorder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5" xfId="0" applyFont="1" applyFill="1" applyBorder="1"/>
    <xf numFmtId="0" fontId="7" fillId="9" borderId="1" xfId="0" applyFont="1" applyFill="1" applyBorder="1" applyAlignment="1">
      <alignment vertical="center"/>
    </xf>
    <xf numFmtId="0" fontId="2" fillId="9" borderId="1" xfId="0" applyFont="1" applyFill="1" applyBorder="1" applyAlignment="1">
      <alignment vertical="center"/>
    </xf>
    <xf numFmtId="0" fontId="8" fillId="9" borderId="1" xfId="0" applyFont="1" applyFill="1" applyBorder="1" applyAlignment="1">
      <alignment vertical="center" textRotation="180"/>
    </xf>
    <xf numFmtId="0" fontId="0" fillId="8" borderId="0" xfId="0" applyFill="1" applyBorder="1"/>
    <xf numFmtId="0" fontId="16" fillId="5" borderId="24" xfId="2" applyFont="1" applyFill="1" applyBorder="1" applyAlignment="1">
      <alignment horizontal="right" vertical="center"/>
    </xf>
    <xf numFmtId="0" fontId="16" fillId="5" borderId="24" xfId="2" applyFont="1" applyFill="1" applyBorder="1" applyAlignment="1">
      <alignment horizontal="left" vertical="center"/>
    </xf>
    <xf numFmtId="14" fontId="20" fillId="5" borderId="25" xfId="2" applyNumberFormat="1" applyFont="1" applyFill="1" applyBorder="1" applyAlignment="1">
      <alignment horizontal="right" vertical="center"/>
    </xf>
    <xf numFmtId="14" fontId="20" fillId="5" borderId="25" xfId="2" applyNumberFormat="1" applyFont="1" applyFill="1" applyBorder="1" applyAlignment="1">
      <alignment horizontal="left" vertical="center"/>
    </xf>
    <xf numFmtId="0" fontId="20" fillId="5" borderId="25" xfId="2" applyFont="1" applyFill="1" applyBorder="1" applyAlignment="1">
      <alignment horizontal="right" vertical="center"/>
    </xf>
    <xf numFmtId="0" fontId="20" fillId="5" borderId="25" xfId="2" applyFont="1" applyFill="1" applyBorder="1" applyAlignment="1">
      <alignment horizontal="left" vertical="center"/>
    </xf>
    <xf numFmtId="0" fontId="18" fillId="6" borderId="24" xfId="2" applyFont="1" applyFill="1" applyBorder="1" applyAlignment="1">
      <alignment horizontal="right" vertical="center"/>
    </xf>
    <xf numFmtId="0" fontId="18" fillId="6" borderId="24" xfId="2" applyFont="1" applyFill="1" applyBorder="1" applyAlignment="1">
      <alignment horizontal="left" vertical="center"/>
    </xf>
    <xf numFmtId="1" fontId="17" fillId="6" borderId="25" xfId="2" applyNumberFormat="1" applyFont="1" applyFill="1" applyBorder="1" applyAlignment="1">
      <alignment horizontal="right" vertical="center"/>
    </xf>
    <xf numFmtId="0" fontId="17" fillId="6" borderId="25" xfId="2" applyFont="1" applyFill="1" applyBorder="1" applyAlignment="1">
      <alignment horizontal="left" vertical="center"/>
    </xf>
    <xf numFmtId="0" fontId="18" fillId="6" borderId="18" xfId="2" applyFont="1" applyFill="1" applyBorder="1" applyAlignment="1">
      <alignment horizontal="center" vertical="center"/>
    </xf>
    <xf numFmtId="0" fontId="18" fillId="6" borderId="20" xfId="2" applyFont="1" applyFill="1" applyBorder="1" applyAlignment="1">
      <alignment horizontal="center" vertical="center"/>
    </xf>
    <xf numFmtId="0" fontId="17" fillId="6" borderId="19" xfId="2" applyFont="1" applyFill="1" applyBorder="1" applyAlignment="1">
      <alignment horizontal="center" vertical="center"/>
    </xf>
    <xf numFmtId="0" fontId="17" fillId="6" borderId="21" xfId="2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1" fontId="20" fillId="5" borderId="19" xfId="2" applyNumberFormat="1" applyFont="1" applyFill="1" applyBorder="1" applyAlignment="1">
      <alignment horizontal="center" vertical="center"/>
    </xf>
    <xf numFmtId="1" fontId="20" fillId="5" borderId="21" xfId="2" applyNumberFormat="1" applyFont="1" applyFill="1" applyBorder="1" applyAlignment="1">
      <alignment horizontal="center" vertical="center"/>
    </xf>
    <xf numFmtId="0" fontId="19" fillId="7" borderId="26" xfId="2" applyFont="1" applyFill="1" applyBorder="1" applyAlignment="1">
      <alignment horizontal="center" vertical="center"/>
    </xf>
    <xf numFmtId="0" fontId="19" fillId="7" borderId="27" xfId="2" applyFont="1" applyFill="1" applyBorder="1" applyAlignment="1">
      <alignment horizontal="center" vertical="center"/>
    </xf>
    <xf numFmtId="0" fontId="16" fillId="5" borderId="23" xfId="2" applyFont="1" applyFill="1" applyBorder="1" applyAlignment="1">
      <alignment horizontal="center" vertical="center"/>
    </xf>
    <xf numFmtId="0" fontId="16" fillId="5" borderId="22" xfId="2" applyFont="1" applyFill="1" applyBorder="1" applyAlignment="1">
      <alignment horizontal="center" vertical="center"/>
    </xf>
    <xf numFmtId="0" fontId="16" fillId="5" borderId="18" xfId="2" applyFont="1" applyFill="1" applyBorder="1" applyAlignment="1">
      <alignment horizontal="center" vertical="center"/>
    </xf>
    <xf numFmtId="0" fontId="16" fillId="5" borderId="20" xfId="2" applyFont="1" applyFill="1" applyBorder="1" applyAlignment="1">
      <alignment horizontal="center" vertical="center"/>
    </xf>
    <xf numFmtId="0" fontId="20" fillId="5" borderId="19" xfId="2" applyFont="1" applyFill="1" applyBorder="1" applyAlignment="1">
      <alignment horizontal="center" vertical="center"/>
    </xf>
    <xf numFmtId="0" fontId="20" fillId="5" borderId="21" xfId="2" applyFont="1" applyFill="1" applyBorder="1" applyAlignment="1">
      <alignment horizontal="center" vertical="center"/>
    </xf>
    <xf numFmtId="14" fontId="20" fillId="5" borderId="19" xfId="2" applyNumberFormat="1" applyFont="1" applyFill="1" applyBorder="1" applyAlignment="1">
      <alignment horizontal="center" vertical="center"/>
    </xf>
    <xf numFmtId="14" fontId="20" fillId="5" borderId="21" xfId="2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right" vertical="center" shrinkToFit="1"/>
    </xf>
    <xf numFmtId="14" fontId="2" fillId="9" borderId="1" xfId="0" applyNumberFormat="1" applyFont="1" applyFill="1" applyBorder="1" applyAlignment="1">
      <alignment horizontal="left" vertical="center" shrinkToFit="1"/>
    </xf>
    <xf numFmtId="0" fontId="4" fillId="9" borderId="6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left" vertical="center" shrinkToFit="1"/>
    </xf>
    <xf numFmtId="0" fontId="2" fillId="9" borderId="1" xfId="0" applyFont="1" applyFill="1" applyBorder="1" applyAlignment="1">
      <alignment horizontal="left" vertical="center" wrapText="1"/>
    </xf>
    <xf numFmtId="0" fontId="1" fillId="9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left" vertical="center" shrinkToFit="1"/>
    </xf>
    <xf numFmtId="14" fontId="2" fillId="9" borderId="1" xfId="0" applyNumberFormat="1" applyFont="1" applyFill="1" applyBorder="1" applyAlignment="1">
      <alignment horizontal="center" vertical="center" shrinkToFit="1"/>
    </xf>
    <xf numFmtId="0" fontId="2" fillId="9" borderId="1" xfId="0" applyFont="1" applyFill="1" applyBorder="1" applyAlignment="1">
      <alignment horizontal="center" vertical="center" shrinkToFit="1"/>
    </xf>
    <xf numFmtId="0" fontId="3" fillId="9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 textRotation="180"/>
    </xf>
    <xf numFmtId="0" fontId="2" fillId="9" borderId="1" xfId="0" applyFont="1" applyFill="1" applyBorder="1" applyAlignment="1">
      <alignment horizontal="left" vertical="center"/>
    </xf>
    <xf numFmtId="1" fontId="6" fillId="9" borderId="1" xfId="0" applyNumberFormat="1" applyFont="1" applyFill="1" applyBorder="1" applyAlignment="1">
      <alignment horizontal="left" vertical="center"/>
    </xf>
    <xf numFmtId="0" fontId="6" fillId="9" borderId="1" xfId="0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right" vertical="center"/>
    </xf>
    <xf numFmtId="0" fontId="2" fillId="9" borderId="1" xfId="0" applyFont="1" applyFill="1" applyBorder="1" applyAlignment="1">
      <alignment horizontal="left" vertical="center" shrinkToFit="1"/>
    </xf>
    <xf numFmtId="0" fontId="3" fillId="9" borderId="1" xfId="0" applyFont="1" applyFill="1" applyBorder="1" applyAlignment="1">
      <alignment horizontal="right" vertical="center"/>
    </xf>
    <xf numFmtId="0" fontId="3" fillId="9" borderId="1" xfId="0" applyFont="1" applyFill="1" applyBorder="1" applyAlignment="1">
      <alignment horizontal="center" vertical="center"/>
    </xf>
    <xf numFmtId="164" fontId="2" fillId="9" borderId="1" xfId="0" applyNumberFormat="1" applyFont="1" applyFill="1" applyBorder="1" applyAlignment="1">
      <alignment horizontal="left" vertical="center" shrinkToFit="1"/>
    </xf>
    <xf numFmtId="0" fontId="4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left" vertical="center"/>
    </xf>
    <xf numFmtId="0" fontId="3" fillId="9" borderId="13" xfId="0" applyFont="1" applyFill="1" applyBorder="1" applyAlignment="1">
      <alignment horizontal="left" vertical="center"/>
    </xf>
    <xf numFmtId="0" fontId="3" fillId="9" borderId="3" xfId="0" applyFont="1" applyFill="1" applyBorder="1" applyAlignment="1">
      <alignment horizontal="left" vertical="center"/>
    </xf>
    <xf numFmtId="0" fontId="2" fillId="9" borderId="2" xfId="0" applyFont="1" applyFill="1" applyBorder="1" applyAlignment="1">
      <alignment horizontal="left" vertical="center"/>
    </xf>
    <xf numFmtId="0" fontId="2" fillId="9" borderId="13" xfId="0" applyFont="1" applyFill="1" applyBorder="1" applyAlignment="1">
      <alignment horizontal="left" vertical="center"/>
    </xf>
    <xf numFmtId="0" fontId="2" fillId="9" borderId="3" xfId="0" applyFont="1" applyFill="1" applyBorder="1" applyAlignment="1">
      <alignment horizontal="left" vertical="center"/>
    </xf>
  </cellXfs>
  <cellStyles count="3">
    <cellStyle name="Normal" xfId="0" builtinId="0"/>
    <cellStyle name="Normal 2" xfId="2" xr:uid="{4FBE4ADD-C6CD-4AD2-B78C-1CB6A6BD4A47}"/>
    <cellStyle name="Style 1" xfId="1" xr:uid="{24B35ABB-7575-4F56-829A-901B7583546B}"/>
  </cellStyles>
  <dxfs count="14">
    <dxf>
      <alignment horizontal="general" vertical="top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B8B8B8"/>
      <color rgb="FF5A2781"/>
      <color rgb="FFFFFCD6"/>
      <color rgb="FFD85A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0</xdr:colOff>
      <xdr:row>20</xdr:row>
      <xdr:rowOff>0</xdr:rowOff>
    </xdr:to>
    <xdr:sp macro="[0]!GenerateNote" textlink="">
      <xdr:nvSpPr>
        <xdr:cNvPr id="2" name="Rectangle 1">
          <a:extLst>
            <a:ext uri="{FF2B5EF4-FFF2-40B4-BE49-F238E27FC236}">
              <a16:creationId xmlns:a16="http://schemas.microsoft.com/office/drawing/2014/main" id="{861BF044-003A-DA97-3010-76B8520762E9}"/>
            </a:ext>
          </a:extLst>
        </xdr:cNvPr>
        <xdr:cNvSpPr/>
      </xdr:nvSpPr>
      <xdr:spPr>
        <a:xfrm>
          <a:off x="247403" y="3911435"/>
          <a:ext cx="2048493" cy="455221"/>
        </a:xfrm>
        <a:prstGeom prst="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rgbClr val="B8B8B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  <a:ea typeface="Cascadia Code SemiBold" panose="020B0609020000020004" pitchFamily="49" charset="0"/>
              <a:cs typeface="Cascadia Code SemiBold" panose="020B0609020000020004" pitchFamily="49" charset="0"/>
            </a:rPr>
            <a:t>Générer</a:t>
          </a:r>
          <a:r>
            <a:rPr lang="en-US" sz="1400" b="1" baseline="0">
              <a:latin typeface="+mn-lt"/>
              <a:ea typeface="Cascadia Code SemiBold" panose="020B0609020000020004" pitchFamily="49" charset="0"/>
              <a:cs typeface="Cascadia Code SemiBold" panose="020B0609020000020004" pitchFamily="49" charset="0"/>
            </a:rPr>
            <a:t> la note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3</xdr:col>
      <xdr:colOff>0</xdr:colOff>
      <xdr:row>20</xdr:row>
      <xdr:rowOff>0</xdr:rowOff>
    </xdr:to>
    <xdr:sp macro="[0]!StartPlanning" textlink="">
      <xdr:nvSpPr>
        <xdr:cNvPr id="9" name="Rectangle 8">
          <a:extLst>
            <a:ext uri="{FF2B5EF4-FFF2-40B4-BE49-F238E27FC236}">
              <a16:creationId xmlns:a16="http://schemas.microsoft.com/office/drawing/2014/main" id="{2855F9B1-7A29-B471-F8C1-665F4B377586}"/>
            </a:ext>
          </a:extLst>
        </xdr:cNvPr>
        <xdr:cNvSpPr/>
      </xdr:nvSpPr>
      <xdr:spPr>
        <a:xfrm>
          <a:off x="2362200" y="4191000"/>
          <a:ext cx="2110740" cy="457200"/>
        </a:xfrm>
        <a:prstGeom prst="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rgbClr val="B8B8B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Commencez</a:t>
          </a:r>
          <a:r>
            <a:rPr lang="en-US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à planifier</a:t>
          </a:r>
          <a:endParaRPr lang="en-US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6</xdr:col>
      <xdr:colOff>0</xdr:colOff>
      <xdr:row>10</xdr:row>
      <xdr:rowOff>0</xdr:rowOff>
    </xdr:to>
    <xdr:sp macro="[0]!CopyMatricule" textlink="">
      <xdr:nvSpPr>
        <xdr:cNvPr id="5" name="Rectangle 4">
          <a:extLst>
            <a:ext uri="{FF2B5EF4-FFF2-40B4-BE49-F238E27FC236}">
              <a16:creationId xmlns:a16="http://schemas.microsoft.com/office/drawing/2014/main" id="{059A4B1A-5079-4B78-B732-D67D303EB377}"/>
            </a:ext>
          </a:extLst>
        </xdr:cNvPr>
        <xdr:cNvSpPr/>
      </xdr:nvSpPr>
      <xdr:spPr>
        <a:xfrm>
          <a:off x="251460" y="6103620"/>
          <a:ext cx="4221480" cy="457200"/>
        </a:xfrm>
        <a:prstGeom prst="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rgbClr val="B8B8B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  <a:ea typeface="Cascadia Code SemiBold" panose="020B0609020000020004" pitchFamily="49" charset="0"/>
              <a:cs typeface="Cascadia Code SemiBold" panose="020B0609020000020004" pitchFamily="49" charset="0"/>
            </a:rPr>
            <a:t>Copy Matricule</a:t>
          </a:r>
          <a:endParaRPr lang="en-US" sz="1400" b="1" baseline="0">
            <a:latin typeface="+mn-lt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137160</xdr:rowOff>
    </xdr:from>
    <xdr:to>
      <xdr:col>7</xdr:col>
      <xdr:colOff>108169</xdr:colOff>
      <xdr:row>6</xdr:row>
      <xdr:rowOff>150411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BAF3696F-E431-457F-8C51-73F117A1D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137160"/>
          <a:ext cx="813019" cy="1156251"/>
        </a:xfrm>
        <a:prstGeom prst="rect">
          <a:avLst/>
        </a:prstGeom>
      </xdr:spPr>
    </xdr:pic>
    <xdr:clientData/>
  </xdr:twoCellAnchor>
  <xdr:twoCellAnchor editAs="oneCell">
    <xdr:from>
      <xdr:col>0</xdr:col>
      <xdr:colOff>65281</xdr:colOff>
      <xdr:row>45</xdr:row>
      <xdr:rowOff>10510</xdr:rowOff>
    </xdr:from>
    <xdr:to>
      <xdr:col>6</xdr:col>
      <xdr:colOff>81231</xdr:colOff>
      <xdr:row>47</xdr:row>
      <xdr:rowOff>179167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B66DA21-FBCB-4626-8130-8E434E083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281" y="9794590"/>
          <a:ext cx="747470" cy="549657"/>
        </a:xfrm>
        <a:prstGeom prst="rect">
          <a:avLst/>
        </a:prstGeom>
      </xdr:spPr>
    </xdr:pic>
    <xdr:clientData/>
  </xdr:twoCellAnchor>
  <xdr:twoCellAnchor editAs="oneCell">
    <xdr:from>
      <xdr:col>52</xdr:col>
      <xdr:colOff>119002</xdr:colOff>
      <xdr:row>44</xdr:row>
      <xdr:rowOff>145364</xdr:rowOff>
    </xdr:from>
    <xdr:to>
      <xdr:col>57</xdr:col>
      <xdr:colOff>3118</xdr:colOff>
      <xdr:row>47</xdr:row>
      <xdr:rowOff>178149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8C14882F-1766-44A6-B8C5-DEAE37555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58842" y="9738944"/>
          <a:ext cx="486096" cy="6042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B23A2A-DD58-421F-8D3F-A11B3F65112A}" name="DATA_TABLE" displayName="DATA_TABLE" ref="A1:H914" totalsRowShown="0" headerRowDxfId="13" dataDxfId="11" headerRowBorderDxfId="12">
  <autoFilter ref="A1:H914" xr:uid="{FE78E9FE-800A-432D-9E86-F21BC0737016}"/>
  <tableColumns count="8">
    <tableColumn id="1" xr3:uid="{239D6269-CF79-4177-B898-C12012B5ED4B}" name="Matricule" dataDxfId="10"/>
    <tableColumn id="2" xr3:uid="{10F1D5E3-DFC1-48E0-8F31-4C1B5E90B778}" name="Numéro de sécurité sociale" dataDxfId="9"/>
    <tableColumn id="3" xr3:uid="{64393B0D-E42C-4EDB-8BA4-E4E20189E562}" name="NOM ET PRENOM" dataDxfId="8"/>
    <tableColumn id="4" xr3:uid="{4A3381B4-1DDE-4CB4-9C27-9ED5C3CCD7AB}" name="Département" dataDxfId="7"/>
    <tableColumn id="5" xr3:uid="{BB0F1455-77D6-40DF-8F5F-9F9414CA66FC}" name="Poste" dataDxfId="6"/>
    <tableColumn id="6" xr3:uid="{A8A23168-0180-4057-B18D-9D62FB9BAB88}" name="Statut de salariés" dataDxfId="5"/>
    <tableColumn id="7" xr3:uid="{855E8899-B4E4-49AF-9145-62AE20A07223}" name="Echelle" dataDxfId="4"/>
    <tableColumn id="8" xr3:uid="{4EDBB696-850D-458F-BA09-A09D7CEE22EF}" name="NOM ET PRENOM 2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F59877-185F-4C3E-ABE2-B4C36FC157E6}" name="Table14" displayName="Table14" ref="J1:K3" totalsRowShown="0" dataDxfId="2">
  <autoFilter ref="J1:K3" xr:uid="{68F59877-185F-4C3E-ABE2-B4C36FC157E6}"/>
  <tableColumns count="2">
    <tableColumn id="1" xr3:uid="{272DD28B-EFE9-4D7B-83B5-6C27817C9C12}" name="NOM ET PRENOM S" dataDxfId="1"/>
    <tableColumn id="2" xr3:uid="{4E5B4B6D-4165-4772-BE51-DAEC70B459CD}" name="POSTE S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0DA9-E42C-47CD-B8FE-FD1CC3400BE4}">
  <sheetPr codeName="Sheet7">
    <tabColor rgb="FF7030A0"/>
  </sheetPr>
  <dimension ref="B1:F31"/>
  <sheetViews>
    <sheetView tabSelected="1" zoomScale="140" zoomScaleNormal="140" workbookViewId="0">
      <selection activeCell="B4" sqref="B4:C4"/>
    </sheetView>
  </sheetViews>
  <sheetFormatPr baseColWidth="10" defaultColWidth="8.85546875" defaultRowHeight="15" x14ac:dyDescent="0.25"/>
  <cols>
    <col min="1" max="1" width="3.7109375" style="33" customWidth="1"/>
    <col min="2" max="3" width="30.7109375" style="33" customWidth="1"/>
    <col min="4" max="4" width="8.85546875" style="33"/>
    <col min="5" max="6" width="20.7109375" style="33" customWidth="1"/>
    <col min="7" max="16384" width="8.85546875" style="33"/>
  </cols>
  <sheetData>
    <row r="1" spans="2:6" ht="15.75" thickBot="1" x14ac:dyDescent="0.3"/>
    <row r="2" spans="2:6" ht="40.15" customHeight="1" thickBot="1" x14ac:dyDescent="0.3">
      <c r="B2" s="51" t="s">
        <v>2146</v>
      </c>
      <c r="C2" s="52"/>
      <c r="E2" s="51" t="s">
        <v>2155</v>
      </c>
      <c r="F2" s="52"/>
    </row>
    <row r="3" spans="2:6" x14ac:dyDescent="0.25">
      <c r="B3" s="53" t="s">
        <v>26</v>
      </c>
      <c r="C3" s="54"/>
      <c r="E3" s="53" t="s">
        <v>2154</v>
      </c>
      <c r="F3" s="54"/>
    </row>
    <row r="4" spans="2:6" ht="16.5" thickBot="1" x14ac:dyDescent="0.3">
      <c r="B4" s="49">
        <v>63037004</v>
      </c>
      <c r="C4" s="50"/>
      <c r="E4" s="49">
        <v>725088000643</v>
      </c>
      <c r="F4" s="50"/>
    </row>
    <row r="5" spans="2:6" x14ac:dyDescent="0.25">
      <c r="B5" s="55" t="s">
        <v>2147</v>
      </c>
      <c r="C5" s="56"/>
      <c r="E5" s="44" t="s">
        <v>2153</v>
      </c>
      <c r="F5" s="45"/>
    </row>
    <row r="6" spans="2:6" ht="16.5" thickBot="1" x14ac:dyDescent="0.3">
      <c r="B6" s="57" t="s">
        <v>19</v>
      </c>
      <c r="C6" s="58"/>
      <c r="E6" s="46" t="str">
        <f>_xlfn.XLOOKUP(E4,N_SS,NOM_PRENOM_2,"NOT FOUND")</f>
        <v>OUNNAS DJILLALI</v>
      </c>
      <c r="F6" s="47"/>
    </row>
    <row r="7" spans="2:6" x14ac:dyDescent="0.25">
      <c r="B7" s="34" t="s">
        <v>2149</v>
      </c>
      <c r="C7" s="35" t="s">
        <v>2150</v>
      </c>
      <c r="E7" s="40" t="s">
        <v>26</v>
      </c>
      <c r="F7" s="41" t="s">
        <v>417</v>
      </c>
    </row>
    <row r="8" spans="2:6" ht="16.5" thickBot="1" x14ac:dyDescent="0.3">
      <c r="B8" s="36">
        <v>46211</v>
      </c>
      <c r="C8" s="37">
        <v>46211</v>
      </c>
      <c r="E8" s="42">
        <f>_xlfn.XLOOKUP(E4,N_SS,MATRICULE_SAP,"NOT FOUND")</f>
        <v>63001873</v>
      </c>
      <c r="F8" s="43" t="str">
        <f>_xlfn.XLOOKUP(E4,N_SS,DEPARTEMENT,"NOT FOUND")</f>
        <v>HSE</v>
      </c>
    </row>
    <row r="9" spans="2:6" x14ac:dyDescent="0.25">
      <c r="B9" s="55" t="s">
        <v>2148</v>
      </c>
      <c r="C9" s="56"/>
      <c r="E9" s="48"/>
      <c r="F9" s="48"/>
    </row>
    <row r="10" spans="2:6" ht="16.5" thickBot="1" x14ac:dyDescent="0.3">
      <c r="B10" s="59">
        <v>46210</v>
      </c>
      <c r="C10" s="60"/>
      <c r="E10" s="48"/>
      <c r="F10" s="48"/>
    </row>
    <row r="11" spans="2:6" x14ac:dyDescent="0.25">
      <c r="B11" s="34" t="s">
        <v>150</v>
      </c>
      <c r="C11" s="35" t="s">
        <v>151</v>
      </c>
    </row>
    <row r="12" spans="2:6" ht="16.5" thickBot="1" x14ac:dyDescent="0.3">
      <c r="B12" s="38" t="s">
        <v>19</v>
      </c>
      <c r="C12" s="39" t="s">
        <v>157</v>
      </c>
    </row>
    <row r="13" spans="2:6" x14ac:dyDescent="0.25">
      <c r="B13" s="55" t="s">
        <v>2151</v>
      </c>
      <c r="C13" s="56"/>
    </row>
    <row r="14" spans="2:6" ht="16.5" thickBot="1" x14ac:dyDescent="0.3">
      <c r="B14" s="57" t="s">
        <v>2152</v>
      </c>
      <c r="C14" s="58"/>
    </row>
    <row r="15" spans="2:6" x14ac:dyDescent="0.25">
      <c r="B15" s="44" t="s">
        <v>2153</v>
      </c>
      <c r="C15" s="45"/>
    </row>
    <row r="16" spans="2:6" ht="16.5" thickBot="1" x14ac:dyDescent="0.3">
      <c r="B16" s="46" t="str">
        <f>_xlfn.XLOOKUP(B4,MATRICULE_SAP,NOM_PRENOM_2,"NOT FOUND")</f>
        <v>NEKAB NADIA</v>
      </c>
      <c r="C16" s="47"/>
    </row>
    <row r="17" spans="2:3" x14ac:dyDescent="0.25">
      <c r="B17" s="40" t="s">
        <v>2154</v>
      </c>
      <c r="C17" s="41" t="s">
        <v>417</v>
      </c>
    </row>
    <row r="18" spans="2:3" ht="16.5" thickBot="1" x14ac:dyDescent="0.3">
      <c r="B18" s="42">
        <f>_xlfn.XLOOKUP(B4,MATRICULE_SAP,N_SS,"NOT FOUND")</f>
        <v>30234025963</v>
      </c>
      <c r="C18" s="43" t="str">
        <f>_xlfn.XLOOKUP(B4,MATRICULE_SAP,DEPARTEMENT,"NOT FOUND")</f>
        <v>RH</v>
      </c>
    </row>
    <row r="19" spans="2:3" ht="18" customHeight="1" x14ac:dyDescent="0.25">
      <c r="B19" s="48"/>
      <c r="C19" s="48"/>
    </row>
    <row r="20" spans="2:3" ht="18" customHeight="1" x14ac:dyDescent="0.25">
      <c r="B20" s="48"/>
      <c r="C20" s="48"/>
    </row>
    <row r="30" spans="2:3" ht="18" customHeight="1" x14ac:dyDescent="0.25"/>
    <row r="31" spans="2:3" ht="18" customHeight="1" x14ac:dyDescent="0.25"/>
  </sheetData>
  <mergeCells count="19">
    <mergeCell ref="B14:C14"/>
    <mergeCell ref="B15:C15"/>
    <mergeCell ref="B16:C16"/>
    <mergeCell ref="C19:C20"/>
    <mergeCell ref="B19:B20"/>
    <mergeCell ref="B13:C13"/>
    <mergeCell ref="B2:C2"/>
    <mergeCell ref="B3:C3"/>
    <mergeCell ref="B4:C4"/>
    <mergeCell ref="B5:C5"/>
    <mergeCell ref="B6:C6"/>
    <mergeCell ref="B9:C9"/>
    <mergeCell ref="B10:C10"/>
    <mergeCell ref="E5:F5"/>
    <mergeCell ref="E6:F6"/>
    <mergeCell ref="E9:F10"/>
    <mergeCell ref="E4:F4"/>
    <mergeCell ref="E2:F2"/>
    <mergeCell ref="E3:F3"/>
  </mergeCells>
  <dataValidations count="7">
    <dataValidation type="list" showInputMessage="1" showErrorMessage="1" sqref="B14:C14" xr:uid="{819E3898-3219-462A-B486-1B877B3C12E0}">
      <formula1>"Absence contrôle medical CNAS,INSTANCE,INDEMNISE"</formula1>
    </dataValidation>
    <dataValidation type="list" showInputMessage="1" showErrorMessage="1" sqref="B6:C6" xr:uid="{769BDCB0-0307-412E-9B9D-5D3FB8DD2330}">
      <formula1>"CM,PLG,MAT"</formula1>
    </dataValidation>
    <dataValidation type="list" showInputMessage="1" showErrorMessage="1" sqref="B12" xr:uid="{97A45AD1-62C9-41B5-B167-8FCB79AF7F0F}">
      <formula1>"CM,MAT"</formula1>
    </dataValidation>
    <dataValidation type="list" showInputMessage="1" showErrorMessage="1" sqref="B4:C4" xr:uid="{0DF1F452-8BDE-4A5F-B2D9-92BA31289DB2}">
      <formula1>MATRICULE_SAP</formula1>
    </dataValidation>
    <dataValidation type="date" showInputMessage="1" showErrorMessage="1" sqref="B10:C10 B8:C8" xr:uid="{DFFF6298-0998-4751-B408-E15FA5C4BD60}">
      <formula1>36526</formula1>
      <formula2>49310</formula2>
    </dataValidation>
    <dataValidation type="list" showInputMessage="1" showErrorMessage="1" sqref="C12" xr:uid="{32DA3FF7-52B2-4A2E-97F9-128FA16A019E}">
      <formula1>"NORMAL,PLG"</formula1>
    </dataValidation>
    <dataValidation type="list" showInputMessage="1" showErrorMessage="1" sqref="E4:F4" xr:uid="{D1DFA397-EFC4-420D-80FD-DFEDFC25C971}">
      <formula1>N_SS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39E49-0F94-4D67-8242-4DCF4F6CA5C2}">
  <sheetPr codeName="Sheet2">
    <tabColor theme="4"/>
  </sheetPr>
  <dimension ref="A1:O364"/>
  <sheetViews>
    <sheetView workbookViewId="0">
      <pane ySplit="1" topLeftCell="A338" activePane="bottomLeft" state="frozen"/>
      <selection pane="bottomLeft" activeCell="A364" sqref="A364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40" bestFit="1" customWidth="1"/>
    <col min="4" max="4" width="38.28515625" bestFit="1" customWidth="1"/>
    <col min="5" max="5" width="30.7109375" bestFit="1" customWidth="1"/>
    <col min="6" max="6" width="16" bestFit="1" customWidth="1"/>
    <col min="7" max="7" width="21.7109375" bestFit="1" customWidth="1"/>
    <col min="8" max="8" width="27.28515625" style="19" bestFit="1" customWidth="1"/>
    <col min="9" max="9" width="26.42578125" style="19" bestFit="1" customWidth="1"/>
    <col min="10" max="10" width="23" style="19" bestFit="1" customWidth="1"/>
    <col min="11" max="11" width="23.5703125" style="19" bestFit="1" customWidth="1"/>
    <col min="12" max="12" width="32.42578125" bestFit="1" customWidth="1"/>
    <col min="13" max="13" width="18" bestFit="1" customWidth="1"/>
    <col min="14" max="14" width="21.28515625" bestFit="1" customWidth="1"/>
    <col min="15" max="15" width="36.7109375" bestFit="1" customWidth="1"/>
  </cols>
  <sheetData>
    <row r="1" spans="1:15" s="11" customFormat="1" ht="24" thickTop="1" x14ac:dyDescent="0.35">
      <c r="A1" s="12" t="s">
        <v>138</v>
      </c>
      <c r="B1" s="12" t="s">
        <v>139</v>
      </c>
      <c r="C1" s="12" t="s">
        <v>140</v>
      </c>
      <c r="D1" s="12" t="s">
        <v>141</v>
      </c>
      <c r="E1" s="12" t="s">
        <v>142</v>
      </c>
      <c r="F1" s="12" t="s">
        <v>143</v>
      </c>
      <c r="G1" s="12" t="s">
        <v>144</v>
      </c>
      <c r="H1" s="17" t="s">
        <v>145</v>
      </c>
      <c r="I1" s="17" t="s">
        <v>146</v>
      </c>
      <c r="J1" s="17" t="s">
        <v>147</v>
      </c>
      <c r="K1" s="17" t="s">
        <v>148</v>
      </c>
      <c r="L1" s="12" t="s">
        <v>149</v>
      </c>
      <c r="M1" s="12" t="s">
        <v>150</v>
      </c>
      <c r="N1" s="12" t="s">
        <v>151</v>
      </c>
      <c r="O1" s="13" t="s">
        <v>152</v>
      </c>
    </row>
    <row r="2" spans="1:15" ht="15.75" x14ac:dyDescent="0.25">
      <c r="A2" s="14">
        <v>1</v>
      </c>
      <c r="B2" s="15">
        <v>63001546</v>
      </c>
      <c r="C2" s="16" t="s">
        <v>153</v>
      </c>
      <c r="D2" s="16" t="s">
        <v>154</v>
      </c>
      <c r="E2" s="14" t="s">
        <v>155</v>
      </c>
      <c r="F2" s="15">
        <v>20</v>
      </c>
      <c r="G2" s="15">
        <v>922423003949</v>
      </c>
      <c r="H2" s="18">
        <v>46026</v>
      </c>
      <c r="I2" s="18">
        <v>46024</v>
      </c>
      <c r="J2" s="18">
        <v>46173</v>
      </c>
      <c r="K2" s="18">
        <v>46174</v>
      </c>
      <c r="L2" s="15">
        <v>150</v>
      </c>
      <c r="M2" s="14" t="s">
        <v>156</v>
      </c>
      <c r="N2" s="14" t="s">
        <v>157</v>
      </c>
      <c r="O2" s="20" t="s">
        <v>158</v>
      </c>
    </row>
    <row r="3" spans="1:15" ht="15.75" x14ac:dyDescent="0.25">
      <c r="A3" s="14">
        <v>2</v>
      </c>
      <c r="B3" s="15">
        <v>63001490</v>
      </c>
      <c r="C3" s="16" t="s">
        <v>159</v>
      </c>
      <c r="D3" s="16" t="s">
        <v>160</v>
      </c>
      <c r="E3" s="14" t="s">
        <v>161</v>
      </c>
      <c r="F3" s="15">
        <v>21</v>
      </c>
      <c r="G3" s="15">
        <v>922150004056</v>
      </c>
      <c r="H3" s="18">
        <v>46027</v>
      </c>
      <c r="I3" s="18">
        <v>46026</v>
      </c>
      <c r="J3" s="18">
        <v>46026</v>
      </c>
      <c r="K3" s="18">
        <v>46027</v>
      </c>
      <c r="L3" s="15">
        <v>1</v>
      </c>
      <c r="M3" s="14" t="s">
        <v>19</v>
      </c>
      <c r="N3" s="14" t="s">
        <v>157</v>
      </c>
      <c r="O3" s="20" t="s">
        <v>542</v>
      </c>
    </row>
    <row r="4" spans="1:15" ht="15.75" x14ac:dyDescent="0.25">
      <c r="A4" s="14">
        <v>3</v>
      </c>
      <c r="B4" s="15">
        <v>63001719</v>
      </c>
      <c r="C4" s="16" t="s">
        <v>163</v>
      </c>
      <c r="D4" s="16" t="s">
        <v>164</v>
      </c>
      <c r="E4" s="14" t="s">
        <v>161</v>
      </c>
      <c r="F4" s="15">
        <v>22</v>
      </c>
      <c r="G4" s="15">
        <v>922129005348</v>
      </c>
      <c r="H4" s="18">
        <v>46028</v>
      </c>
      <c r="I4" s="18">
        <v>46026</v>
      </c>
      <c r="J4" s="18">
        <v>46040</v>
      </c>
      <c r="K4" s="18">
        <v>46041</v>
      </c>
      <c r="L4" s="15">
        <v>15</v>
      </c>
      <c r="M4" s="14" t="s">
        <v>19</v>
      </c>
      <c r="N4" s="14" t="s">
        <v>165</v>
      </c>
      <c r="O4" s="20" t="s">
        <v>158</v>
      </c>
    </row>
    <row r="5" spans="1:15" ht="15.75" x14ac:dyDescent="0.25">
      <c r="A5" s="14">
        <v>4</v>
      </c>
      <c r="B5" s="15">
        <v>63001691</v>
      </c>
      <c r="C5" s="16" t="s">
        <v>166</v>
      </c>
      <c r="D5" s="16" t="s">
        <v>167</v>
      </c>
      <c r="E5" s="14" t="s">
        <v>161</v>
      </c>
      <c r="F5" s="15">
        <v>23</v>
      </c>
      <c r="G5" s="15">
        <v>920896010244</v>
      </c>
      <c r="H5" s="18">
        <v>46026</v>
      </c>
      <c r="I5" s="18">
        <v>46022</v>
      </c>
      <c r="J5" s="18">
        <v>46022</v>
      </c>
      <c r="K5" s="18">
        <v>46023</v>
      </c>
      <c r="L5" s="15">
        <v>1</v>
      </c>
      <c r="M5" s="14" t="s">
        <v>19</v>
      </c>
      <c r="N5" s="14" t="s">
        <v>157</v>
      </c>
      <c r="O5" s="20" t="s">
        <v>542</v>
      </c>
    </row>
    <row r="6" spans="1:15" ht="15.75" x14ac:dyDescent="0.25">
      <c r="A6" s="14">
        <v>5</v>
      </c>
      <c r="B6" s="15">
        <v>63001956</v>
      </c>
      <c r="C6" s="16" t="s">
        <v>168</v>
      </c>
      <c r="D6" s="16" t="s">
        <v>169</v>
      </c>
      <c r="E6" s="14" t="s">
        <v>161</v>
      </c>
      <c r="F6" s="15">
        <v>23</v>
      </c>
      <c r="G6" s="15">
        <v>843525002352</v>
      </c>
      <c r="H6" s="18">
        <v>46028</v>
      </c>
      <c r="I6" s="18">
        <v>46028</v>
      </c>
      <c r="J6" s="18">
        <v>46177</v>
      </c>
      <c r="K6" s="18">
        <v>46178</v>
      </c>
      <c r="L6" s="15">
        <v>150</v>
      </c>
      <c r="M6" s="14" t="s">
        <v>156</v>
      </c>
      <c r="N6" s="14" t="s">
        <v>157</v>
      </c>
      <c r="O6" s="20" t="s">
        <v>158</v>
      </c>
    </row>
    <row r="7" spans="1:15" ht="15.75" x14ac:dyDescent="0.25">
      <c r="A7" s="14">
        <v>6</v>
      </c>
      <c r="B7" s="15">
        <v>63036930</v>
      </c>
      <c r="C7" s="16" t="s">
        <v>170</v>
      </c>
      <c r="D7" s="16" t="s">
        <v>171</v>
      </c>
      <c r="E7" s="14" t="s">
        <v>155</v>
      </c>
      <c r="F7" s="15"/>
      <c r="G7" s="15">
        <v>15578001059</v>
      </c>
      <c r="H7" s="18">
        <v>46028</v>
      </c>
      <c r="I7" s="18">
        <v>46026</v>
      </c>
      <c r="J7" s="18">
        <v>46026</v>
      </c>
      <c r="K7" s="18">
        <v>46027</v>
      </c>
      <c r="L7" s="15">
        <v>1</v>
      </c>
      <c r="M7" s="14" t="s">
        <v>19</v>
      </c>
      <c r="N7" s="14" t="s">
        <v>157</v>
      </c>
      <c r="O7" s="20" t="s">
        <v>542</v>
      </c>
    </row>
    <row r="8" spans="1:15" ht="15.75" x14ac:dyDescent="0.25">
      <c r="A8" s="14">
        <v>7</v>
      </c>
      <c r="B8" s="15">
        <v>63001493</v>
      </c>
      <c r="C8" s="16" t="s">
        <v>172</v>
      </c>
      <c r="D8" s="16" t="s">
        <v>173</v>
      </c>
      <c r="E8" s="14" t="s">
        <v>161</v>
      </c>
      <c r="F8" s="15">
        <v>23</v>
      </c>
      <c r="G8" s="15">
        <v>822591003344</v>
      </c>
      <c r="H8" s="18">
        <v>46029</v>
      </c>
      <c r="I8" s="18">
        <v>46026</v>
      </c>
      <c r="J8" s="18">
        <v>46028</v>
      </c>
      <c r="K8" s="18">
        <v>46029</v>
      </c>
      <c r="L8" s="15">
        <v>3</v>
      </c>
      <c r="M8" s="14" t="s">
        <v>19</v>
      </c>
      <c r="N8" s="14" t="s">
        <v>157</v>
      </c>
      <c r="O8" s="20" t="s">
        <v>542</v>
      </c>
    </row>
    <row r="9" spans="1:15" ht="15.75" x14ac:dyDescent="0.25">
      <c r="A9" s="14">
        <v>8</v>
      </c>
      <c r="B9" s="15">
        <v>63036920</v>
      </c>
      <c r="C9" s="16" t="s">
        <v>174</v>
      </c>
      <c r="D9" s="16" t="s">
        <v>171</v>
      </c>
      <c r="E9" s="14" t="s">
        <v>155</v>
      </c>
      <c r="F9" s="15"/>
      <c r="G9" s="15">
        <v>923190001646</v>
      </c>
      <c r="H9" s="18">
        <v>46029</v>
      </c>
      <c r="I9" s="18">
        <v>46026</v>
      </c>
      <c r="J9" s="18">
        <v>46027</v>
      </c>
      <c r="K9" s="18">
        <v>46028</v>
      </c>
      <c r="L9" s="15">
        <v>2</v>
      </c>
      <c r="M9" s="14" t="s">
        <v>19</v>
      </c>
      <c r="N9" s="14" t="s">
        <v>157</v>
      </c>
      <c r="O9" s="20" t="s">
        <v>542</v>
      </c>
    </row>
    <row r="10" spans="1:15" ht="15.75" x14ac:dyDescent="0.25">
      <c r="A10" s="14">
        <v>9</v>
      </c>
      <c r="B10" s="15">
        <v>63001472</v>
      </c>
      <c r="C10" s="16" t="s">
        <v>175</v>
      </c>
      <c r="D10" s="16" t="s">
        <v>176</v>
      </c>
      <c r="E10" s="14" t="s">
        <v>155</v>
      </c>
      <c r="F10" s="15">
        <v>20</v>
      </c>
      <c r="G10" s="15">
        <v>880683011641</v>
      </c>
      <c r="H10" s="18">
        <v>46054</v>
      </c>
      <c r="I10" s="18">
        <v>46053</v>
      </c>
      <c r="J10" s="18">
        <v>46112</v>
      </c>
      <c r="K10" s="18">
        <v>46113</v>
      </c>
      <c r="L10" s="15">
        <v>60</v>
      </c>
      <c r="M10" s="14" t="s">
        <v>19</v>
      </c>
      <c r="N10" s="14" t="s">
        <v>165</v>
      </c>
      <c r="O10" s="20" t="s">
        <v>542</v>
      </c>
    </row>
    <row r="11" spans="1:15" ht="15.75" x14ac:dyDescent="0.25">
      <c r="A11" s="14">
        <v>10</v>
      </c>
      <c r="B11" s="15">
        <v>63001689</v>
      </c>
      <c r="C11" s="16" t="s">
        <v>177</v>
      </c>
      <c r="D11" s="16" t="s">
        <v>178</v>
      </c>
      <c r="E11" s="14" t="s">
        <v>155</v>
      </c>
      <c r="F11" s="15">
        <v>20</v>
      </c>
      <c r="G11" s="15">
        <v>950969007329</v>
      </c>
      <c r="H11" s="18">
        <v>46033</v>
      </c>
      <c r="I11" s="18">
        <v>46024</v>
      </c>
      <c r="J11" s="18">
        <v>46024</v>
      </c>
      <c r="K11" s="18">
        <v>46025</v>
      </c>
      <c r="L11" s="15">
        <v>1</v>
      </c>
      <c r="M11" s="14" t="s">
        <v>19</v>
      </c>
      <c r="N11" s="14" t="s">
        <v>157</v>
      </c>
      <c r="O11" s="20" t="s">
        <v>542</v>
      </c>
    </row>
    <row r="12" spans="1:15" ht="15.75" x14ac:dyDescent="0.25">
      <c r="A12" s="14">
        <v>11</v>
      </c>
      <c r="B12" s="15">
        <v>63001827</v>
      </c>
      <c r="C12" s="16" t="s">
        <v>179</v>
      </c>
      <c r="D12" s="16" t="s">
        <v>178</v>
      </c>
      <c r="E12" s="14" t="s">
        <v>155</v>
      </c>
      <c r="F12" s="15">
        <v>20</v>
      </c>
      <c r="G12" s="15">
        <v>670466005048</v>
      </c>
      <c r="H12" s="18">
        <v>46033</v>
      </c>
      <c r="I12" s="18">
        <v>46025</v>
      </c>
      <c r="J12" s="18">
        <v>46026</v>
      </c>
      <c r="K12" s="18">
        <v>46027</v>
      </c>
      <c r="L12" s="15">
        <v>2</v>
      </c>
      <c r="M12" s="14" t="s">
        <v>19</v>
      </c>
      <c r="N12" s="14" t="s">
        <v>157</v>
      </c>
      <c r="O12" s="20" t="s">
        <v>542</v>
      </c>
    </row>
    <row r="13" spans="1:15" ht="15.75" x14ac:dyDescent="0.25">
      <c r="A13" s="14">
        <v>12</v>
      </c>
      <c r="B13" s="15">
        <v>63001943</v>
      </c>
      <c r="C13" s="16" t="s">
        <v>180</v>
      </c>
      <c r="D13" s="16" t="s">
        <v>181</v>
      </c>
      <c r="E13" s="14" t="s">
        <v>161</v>
      </c>
      <c r="F13" s="15">
        <v>21</v>
      </c>
      <c r="G13" s="15">
        <v>810885004441</v>
      </c>
      <c r="H13" s="18">
        <v>46036</v>
      </c>
      <c r="I13" s="18">
        <v>46035</v>
      </c>
      <c r="J13" s="18">
        <v>46035</v>
      </c>
      <c r="K13" s="18">
        <v>46036</v>
      </c>
      <c r="L13" s="15">
        <v>1</v>
      </c>
      <c r="M13" s="14" t="s">
        <v>19</v>
      </c>
      <c r="N13" s="14" t="s">
        <v>165</v>
      </c>
      <c r="O13" s="20" t="s">
        <v>158</v>
      </c>
    </row>
    <row r="14" spans="1:15" ht="15.75" x14ac:dyDescent="0.25">
      <c r="A14" s="14">
        <v>13</v>
      </c>
      <c r="B14" s="15">
        <v>63001943</v>
      </c>
      <c r="C14" s="16" t="s">
        <v>180</v>
      </c>
      <c r="D14" s="16" t="s">
        <v>181</v>
      </c>
      <c r="E14" s="14" t="s">
        <v>161</v>
      </c>
      <c r="F14" s="15">
        <v>21</v>
      </c>
      <c r="G14" s="15">
        <v>810885004441</v>
      </c>
      <c r="H14" s="18">
        <v>46036</v>
      </c>
      <c r="I14" s="18">
        <v>46036</v>
      </c>
      <c r="J14" s="18">
        <v>46095</v>
      </c>
      <c r="K14" s="18">
        <v>46096</v>
      </c>
      <c r="L14" s="15">
        <v>60</v>
      </c>
      <c r="M14" s="14" t="s">
        <v>19</v>
      </c>
      <c r="N14" s="14" t="s">
        <v>165</v>
      </c>
      <c r="O14" s="20" t="s">
        <v>158</v>
      </c>
    </row>
    <row r="15" spans="1:15" ht="15.75" x14ac:dyDescent="0.25">
      <c r="A15" s="14">
        <v>14</v>
      </c>
      <c r="B15" s="15">
        <v>63001698</v>
      </c>
      <c r="C15" s="16" t="s">
        <v>182</v>
      </c>
      <c r="D15" s="16" t="s">
        <v>183</v>
      </c>
      <c r="E15" s="14" t="s">
        <v>161</v>
      </c>
      <c r="F15" s="15">
        <v>22</v>
      </c>
      <c r="G15" s="15">
        <v>910461009738</v>
      </c>
      <c r="H15" s="18">
        <v>46036</v>
      </c>
      <c r="I15" s="18">
        <v>46035</v>
      </c>
      <c r="J15" s="18">
        <v>46035</v>
      </c>
      <c r="K15" s="18">
        <v>46036</v>
      </c>
      <c r="L15" s="15">
        <v>1</v>
      </c>
      <c r="M15" s="14" t="s">
        <v>19</v>
      </c>
      <c r="N15" s="14" t="s">
        <v>165</v>
      </c>
      <c r="O15" s="20" t="s">
        <v>542</v>
      </c>
    </row>
    <row r="16" spans="1:15" ht="15.75" x14ac:dyDescent="0.25">
      <c r="A16" s="14">
        <v>15</v>
      </c>
      <c r="B16" s="15">
        <v>63001903</v>
      </c>
      <c r="C16" s="16" t="s">
        <v>184</v>
      </c>
      <c r="D16" s="16" t="s">
        <v>185</v>
      </c>
      <c r="E16" s="14" t="s">
        <v>161</v>
      </c>
      <c r="F16" s="15">
        <v>21</v>
      </c>
      <c r="G16" s="15">
        <v>748614000152</v>
      </c>
      <c r="H16" s="18">
        <v>46036</v>
      </c>
      <c r="I16" s="18">
        <v>46033</v>
      </c>
      <c r="J16" s="18">
        <v>46033</v>
      </c>
      <c r="K16" s="18">
        <v>46034</v>
      </c>
      <c r="L16" s="15">
        <v>1</v>
      </c>
      <c r="M16" s="14" t="s">
        <v>19</v>
      </c>
      <c r="N16" s="14" t="s">
        <v>157</v>
      </c>
      <c r="O16" s="20" t="s">
        <v>542</v>
      </c>
    </row>
    <row r="17" spans="1:15" ht="15.75" x14ac:dyDescent="0.25">
      <c r="A17" s="14">
        <v>16</v>
      </c>
      <c r="B17" s="15">
        <v>63001500</v>
      </c>
      <c r="C17" s="16" t="s">
        <v>186</v>
      </c>
      <c r="D17" s="16" t="s">
        <v>187</v>
      </c>
      <c r="E17" s="14" t="s">
        <v>155</v>
      </c>
      <c r="F17" s="15">
        <v>20</v>
      </c>
      <c r="G17" s="15">
        <v>850409004354</v>
      </c>
      <c r="H17" s="18">
        <v>46036</v>
      </c>
      <c r="I17" s="18">
        <v>46035</v>
      </c>
      <c r="J17" s="18">
        <v>46035</v>
      </c>
      <c r="K17" s="18">
        <v>46036</v>
      </c>
      <c r="L17" s="15">
        <v>1</v>
      </c>
      <c r="M17" s="14" t="s">
        <v>19</v>
      </c>
      <c r="N17" s="14" t="s">
        <v>165</v>
      </c>
      <c r="O17" s="20" t="s">
        <v>542</v>
      </c>
    </row>
    <row r="18" spans="1:15" ht="15.75" x14ac:dyDescent="0.25">
      <c r="A18" s="14">
        <v>17</v>
      </c>
      <c r="B18" s="15">
        <v>63001337</v>
      </c>
      <c r="C18" s="16" t="s">
        <v>188</v>
      </c>
      <c r="D18" s="16" t="s">
        <v>189</v>
      </c>
      <c r="E18" s="14" t="s">
        <v>161</v>
      </c>
      <c r="F18" s="15">
        <v>22</v>
      </c>
      <c r="G18" s="15">
        <v>890042008543</v>
      </c>
      <c r="H18" s="18">
        <v>46034</v>
      </c>
      <c r="I18" s="18">
        <v>46032</v>
      </c>
      <c r="J18" s="18">
        <v>46061</v>
      </c>
      <c r="K18" s="18">
        <v>46062</v>
      </c>
      <c r="L18" s="15">
        <v>30</v>
      </c>
      <c r="M18" s="14" t="s">
        <v>19</v>
      </c>
      <c r="N18" s="14" t="s">
        <v>165</v>
      </c>
      <c r="O18" s="20" t="s">
        <v>542</v>
      </c>
    </row>
    <row r="19" spans="1:15" ht="15.75" x14ac:dyDescent="0.25">
      <c r="A19" s="14">
        <v>18</v>
      </c>
      <c r="B19" s="15">
        <v>63001943</v>
      </c>
      <c r="C19" s="16" t="s">
        <v>180</v>
      </c>
      <c r="D19" s="16" t="s">
        <v>181</v>
      </c>
      <c r="E19" s="14" t="s">
        <v>161</v>
      </c>
      <c r="F19" s="15">
        <v>21</v>
      </c>
      <c r="G19" s="15">
        <v>810885004441</v>
      </c>
      <c r="H19" s="18">
        <v>46037</v>
      </c>
      <c r="I19" s="18">
        <v>46035</v>
      </c>
      <c r="J19" s="18">
        <v>46035</v>
      </c>
      <c r="K19" s="18">
        <v>46036</v>
      </c>
      <c r="L19" s="15">
        <v>1</v>
      </c>
      <c r="M19" s="14" t="s">
        <v>19</v>
      </c>
      <c r="N19" s="14" t="s">
        <v>165</v>
      </c>
      <c r="O19" s="20" t="s">
        <v>158</v>
      </c>
    </row>
    <row r="20" spans="1:15" ht="15.75" x14ac:dyDescent="0.25">
      <c r="A20" s="14">
        <v>19</v>
      </c>
      <c r="B20" s="15">
        <v>63001943</v>
      </c>
      <c r="C20" s="16" t="s">
        <v>180</v>
      </c>
      <c r="D20" s="16" t="s">
        <v>181</v>
      </c>
      <c r="E20" s="14" t="s">
        <v>161</v>
      </c>
      <c r="F20" s="15">
        <v>21</v>
      </c>
      <c r="G20" s="15">
        <v>810885004441</v>
      </c>
      <c r="H20" s="18">
        <v>46037</v>
      </c>
      <c r="I20" s="18">
        <v>46036</v>
      </c>
      <c r="J20" s="18">
        <v>46095</v>
      </c>
      <c r="K20" s="18">
        <v>46096</v>
      </c>
      <c r="L20" s="15">
        <v>60</v>
      </c>
      <c r="M20" s="14" t="s">
        <v>19</v>
      </c>
      <c r="N20" s="14" t="s">
        <v>165</v>
      </c>
      <c r="O20" s="20" t="s">
        <v>158</v>
      </c>
    </row>
    <row r="21" spans="1:15" ht="15.75" x14ac:dyDescent="0.25">
      <c r="A21" s="14">
        <v>20</v>
      </c>
      <c r="B21" s="15">
        <v>63001841</v>
      </c>
      <c r="C21" s="16" t="s">
        <v>190</v>
      </c>
      <c r="D21" s="16" t="s">
        <v>178</v>
      </c>
      <c r="E21" s="14" t="s">
        <v>155</v>
      </c>
      <c r="F21" s="15">
        <v>20</v>
      </c>
      <c r="G21" s="15">
        <v>722904000660</v>
      </c>
      <c r="H21" s="18">
        <v>46037</v>
      </c>
      <c r="I21" s="18">
        <v>46035</v>
      </c>
      <c r="J21" s="18">
        <v>46037</v>
      </c>
      <c r="K21" s="18">
        <v>46038</v>
      </c>
      <c r="L21" s="15">
        <v>3</v>
      </c>
      <c r="M21" s="14" t="s">
        <v>19</v>
      </c>
      <c r="N21" s="14" t="s">
        <v>157</v>
      </c>
      <c r="O21" s="20" t="s">
        <v>158</v>
      </c>
    </row>
    <row r="22" spans="1:15" ht="15.75" x14ac:dyDescent="0.25">
      <c r="A22" s="14">
        <v>21</v>
      </c>
      <c r="B22" s="15">
        <v>63004828</v>
      </c>
      <c r="C22" s="16" t="s">
        <v>191</v>
      </c>
      <c r="D22" s="16" t="s">
        <v>192</v>
      </c>
      <c r="E22" s="14" t="s">
        <v>155</v>
      </c>
      <c r="F22" s="15">
        <v>18</v>
      </c>
      <c r="G22" s="15">
        <v>743007001264</v>
      </c>
      <c r="H22" s="18">
        <v>46037</v>
      </c>
      <c r="I22" s="18">
        <v>46023</v>
      </c>
      <c r="J22" s="18">
        <v>46023</v>
      </c>
      <c r="K22" s="18">
        <v>46024</v>
      </c>
      <c r="L22" s="15">
        <v>1</v>
      </c>
      <c r="M22" s="14" t="s">
        <v>19</v>
      </c>
      <c r="N22" s="14" t="s">
        <v>157</v>
      </c>
      <c r="O22" s="20" t="s">
        <v>542</v>
      </c>
    </row>
    <row r="23" spans="1:15" ht="15.75" x14ac:dyDescent="0.25">
      <c r="A23" s="14">
        <v>22</v>
      </c>
      <c r="B23" s="15">
        <v>63001577</v>
      </c>
      <c r="C23" s="16" t="s">
        <v>193</v>
      </c>
      <c r="D23" s="16" t="s">
        <v>194</v>
      </c>
      <c r="E23" s="14" t="s">
        <v>161</v>
      </c>
      <c r="F23" s="15">
        <v>21</v>
      </c>
      <c r="G23" s="15">
        <v>922382002050</v>
      </c>
      <c r="H23" s="18">
        <v>46040</v>
      </c>
      <c r="I23" s="18">
        <v>46035</v>
      </c>
      <c r="J23" s="18">
        <v>46184</v>
      </c>
      <c r="K23" s="18">
        <v>46185</v>
      </c>
      <c r="L23" s="15">
        <v>150</v>
      </c>
      <c r="M23" s="14" t="s">
        <v>156</v>
      </c>
      <c r="N23" s="14" t="s">
        <v>157</v>
      </c>
      <c r="O23" s="20" t="s">
        <v>158</v>
      </c>
    </row>
    <row r="24" spans="1:15" ht="15.75" x14ac:dyDescent="0.25">
      <c r="A24" s="14">
        <v>23</v>
      </c>
      <c r="B24" s="15">
        <v>63001568</v>
      </c>
      <c r="C24" s="16" t="s">
        <v>195</v>
      </c>
      <c r="D24" s="16" t="s">
        <v>196</v>
      </c>
      <c r="E24" s="14" t="s">
        <v>161</v>
      </c>
      <c r="F24" s="15">
        <v>21</v>
      </c>
      <c r="G24" s="15">
        <v>921848005043</v>
      </c>
      <c r="H24" s="18">
        <v>46040</v>
      </c>
      <c r="I24" s="18">
        <v>46040</v>
      </c>
      <c r="J24" s="18">
        <v>46049</v>
      </c>
      <c r="K24" s="18">
        <v>46050</v>
      </c>
      <c r="L24" s="15">
        <v>10</v>
      </c>
      <c r="M24" s="14" t="s">
        <v>19</v>
      </c>
      <c r="N24" s="14" t="s">
        <v>157</v>
      </c>
      <c r="O24" s="20" t="s">
        <v>542</v>
      </c>
    </row>
    <row r="25" spans="1:15" ht="15.75" x14ac:dyDescent="0.25">
      <c r="A25" s="14">
        <v>24</v>
      </c>
      <c r="B25" s="15">
        <v>63001327</v>
      </c>
      <c r="C25" s="16" t="s">
        <v>197</v>
      </c>
      <c r="D25" s="16" t="s">
        <v>178</v>
      </c>
      <c r="E25" s="14" t="s">
        <v>155</v>
      </c>
      <c r="F25" s="15">
        <v>21</v>
      </c>
      <c r="G25" s="15">
        <v>780789005827</v>
      </c>
      <c r="H25" s="18">
        <v>46041</v>
      </c>
      <c r="I25" s="18">
        <v>46037</v>
      </c>
      <c r="J25" s="18">
        <v>46037</v>
      </c>
      <c r="K25" s="18">
        <v>46038</v>
      </c>
      <c r="L25" s="15">
        <v>1</v>
      </c>
      <c r="M25" s="14" t="s">
        <v>19</v>
      </c>
      <c r="N25" s="14" t="s">
        <v>157</v>
      </c>
      <c r="O25" s="20" t="s">
        <v>542</v>
      </c>
    </row>
    <row r="26" spans="1:15" ht="15.75" x14ac:dyDescent="0.25">
      <c r="A26" s="14">
        <v>25</v>
      </c>
      <c r="B26" s="15">
        <v>63001569</v>
      </c>
      <c r="C26" s="16" t="s">
        <v>198</v>
      </c>
      <c r="D26" s="16" t="s">
        <v>199</v>
      </c>
      <c r="E26" s="14" t="s">
        <v>155</v>
      </c>
      <c r="F26" s="15"/>
      <c r="G26" s="15">
        <v>910126007748</v>
      </c>
      <c r="H26" s="18">
        <v>46041</v>
      </c>
      <c r="I26" s="18">
        <v>46037</v>
      </c>
      <c r="J26" s="18">
        <v>46038</v>
      </c>
      <c r="K26" s="18">
        <v>46039</v>
      </c>
      <c r="L26" s="15">
        <v>2</v>
      </c>
      <c r="M26" s="14" t="s">
        <v>19</v>
      </c>
      <c r="N26" s="14" t="s">
        <v>157</v>
      </c>
      <c r="O26" s="20" t="s">
        <v>542</v>
      </c>
    </row>
    <row r="27" spans="1:15" ht="15.75" x14ac:dyDescent="0.25">
      <c r="A27" s="14">
        <v>26</v>
      </c>
      <c r="B27" s="15">
        <v>63001623</v>
      </c>
      <c r="C27" s="16" t="s">
        <v>200</v>
      </c>
      <c r="D27" s="16" t="s">
        <v>201</v>
      </c>
      <c r="E27" s="14" t="s">
        <v>161</v>
      </c>
      <c r="F27" s="15">
        <v>21</v>
      </c>
      <c r="G27" s="15">
        <v>921526006446</v>
      </c>
      <c r="H27" s="18">
        <v>46041</v>
      </c>
      <c r="I27" s="18">
        <v>46040</v>
      </c>
      <c r="J27" s="18">
        <v>46042</v>
      </c>
      <c r="K27" s="18">
        <v>46043</v>
      </c>
      <c r="L27" s="15">
        <v>3</v>
      </c>
      <c r="M27" s="14" t="s">
        <v>19</v>
      </c>
      <c r="N27" s="14" t="s">
        <v>157</v>
      </c>
      <c r="O27" s="20" t="s">
        <v>542</v>
      </c>
    </row>
    <row r="28" spans="1:15" ht="15.75" x14ac:dyDescent="0.25">
      <c r="A28" s="14">
        <v>27</v>
      </c>
      <c r="B28" s="15">
        <v>63001459</v>
      </c>
      <c r="C28" s="16" t="s">
        <v>202</v>
      </c>
      <c r="D28" s="16" t="s">
        <v>203</v>
      </c>
      <c r="E28" s="14" t="s">
        <v>155</v>
      </c>
      <c r="F28" s="15">
        <v>20</v>
      </c>
      <c r="G28" s="15">
        <v>910027029049</v>
      </c>
      <c r="H28" s="18">
        <v>46041</v>
      </c>
      <c r="I28" s="18">
        <v>46035</v>
      </c>
      <c r="J28" s="18">
        <v>46037</v>
      </c>
      <c r="K28" s="18">
        <v>46038</v>
      </c>
      <c r="L28" s="15">
        <v>3</v>
      </c>
      <c r="M28" s="14" t="s">
        <v>19</v>
      </c>
      <c r="N28" s="14" t="s">
        <v>157</v>
      </c>
      <c r="O28" s="20" t="s">
        <v>542</v>
      </c>
    </row>
    <row r="29" spans="1:15" ht="15.75" x14ac:dyDescent="0.25">
      <c r="A29" s="14">
        <v>28</v>
      </c>
      <c r="B29" s="15">
        <v>63001719</v>
      </c>
      <c r="C29" s="16" t="s">
        <v>163</v>
      </c>
      <c r="D29" s="16" t="s">
        <v>164</v>
      </c>
      <c r="E29" s="14" t="s">
        <v>161</v>
      </c>
      <c r="F29" s="15">
        <v>22</v>
      </c>
      <c r="G29" s="15">
        <v>922129005348</v>
      </c>
      <c r="H29" s="18">
        <v>46042</v>
      </c>
      <c r="I29" s="18">
        <v>46041</v>
      </c>
      <c r="J29" s="18">
        <v>46055</v>
      </c>
      <c r="K29" s="18">
        <v>46056</v>
      </c>
      <c r="L29" s="15">
        <v>15</v>
      </c>
      <c r="M29" s="14" t="s">
        <v>19</v>
      </c>
      <c r="N29" s="14" t="s">
        <v>165</v>
      </c>
      <c r="O29" s="20" t="s">
        <v>158</v>
      </c>
    </row>
    <row r="30" spans="1:15" ht="15.75" x14ac:dyDescent="0.25">
      <c r="A30" s="14">
        <v>29</v>
      </c>
      <c r="B30" s="15">
        <v>63001561</v>
      </c>
      <c r="C30" s="16" t="s">
        <v>204</v>
      </c>
      <c r="D30" s="16" t="s">
        <v>176</v>
      </c>
      <c r="E30" s="14" t="s">
        <v>155</v>
      </c>
      <c r="F30" s="15">
        <v>20</v>
      </c>
      <c r="G30" s="15">
        <v>908145000249</v>
      </c>
      <c r="H30" s="18">
        <v>46042</v>
      </c>
      <c r="I30" s="18">
        <v>46039</v>
      </c>
      <c r="J30" s="18">
        <v>46039</v>
      </c>
      <c r="K30" s="18">
        <v>46040</v>
      </c>
      <c r="L30" s="15">
        <v>1</v>
      </c>
      <c r="M30" s="14" t="s">
        <v>19</v>
      </c>
      <c r="N30" s="14" t="s">
        <v>157</v>
      </c>
      <c r="O30" s="20" t="s">
        <v>542</v>
      </c>
    </row>
    <row r="31" spans="1:15" ht="15.75" x14ac:dyDescent="0.25">
      <c r="A31" s="14">
        <v>30</v>
      </c>
      <c r="B31" s="15">
        <v>63001397</v>
      </c>
      <c r="C31" s="16" t="s">
        <v>205</v>
      </c>
      <c r="D31" s="16" t="s">
        <v>206</v>
      </c>
      <c r="E31" s="14" t="s">
        <v>161</v>
      </c>
      <c r="F31" s="15">
        <v>24</v>
      </c>
      <c r="G31" s="15">
        <v>854679000635</v>
      </c>
      <c r="H31" s="18">
        <v>46042</v>
      </c>
      <c r="I31" s="18">
        <v>46041</v>
      </c>
      <c r="J31" s="18">
        <v>46055</v>
      </c>
      <c r="K31" s="18">
        <v>46056</v>
      </c>
      <c r="L31" s="15">
        <v>15</v>
      </c>
      <c r="M31" s="14" t="s">
        <v>19</v>
      </c>
      <c r="N31" s="14" t="s">
        <v>165</v>
      </c>
      <c r="O31" s="20" t="s">
        <v>542</v>
      </c>
    </row>
    <row r="32" spans="1:15" ht="15.75" x14ac:dyDescent="0.25">
      <c r="A32" s="14">
        <v>31</v>
      </c>
      <c r="B32" s="15">
        <v>63001454</v>
      </c>
      <c r="C32" s="16" t="s">
        <v>207</v>
      </c>
      <c r="D32" s="16" t="s">
        <v>178</v>
      </c>
      <c r="E32" s="14" t="s">
        <v>155</v>
      </c>
      <c r="F32" s="15">
        <v>20</v>
      </c>
      <c r="G32" s="15">
        <v>850257011947</v>
      </c>
      <c r="H32" s="18">
        <v>46042</v>
      </c>
      <c r="I32" s="18">
        <v>46041</v>
      </c>
      <c r="J32" s="18">
        <v>46041</v>
      </c>
      <c r="K32" s="18">
        <v>46042</v>
      </c>
      <c r="L32" s="15">
        <v>1</v>
      </c>
      <c r="M32" s="14" t="s">
        <v>19</v>
      </c>
      <c r="N32" s="14" t="s">
        <v>157</v>
      </c>
      <c r="O32" s="20" t="s">
        <v>542</v>
      </c>
    </row>
    <row r="33" spans="1:15" ht="15.75" x14ac:dyDescent="0.25">
      <c r="A33" s="14">
        <v>32</v>
      </c>
      <c r="B33" s="15">
        <v>63030548</v>
      </c>
      <c r="C33" s="16" t="s">
        <v>208</v>
      </c>
      <c r="D33" s="16" t="s">
        <v>209</v>
      </c>
      <c r="E33" s="14" t="s">
        <v>155</v>
      </c>
      <c r="F33" s="15">
        <v>20</v>
      </c>
      <c r="G33" s="15">
        <v>951020010564</v>
      </c>
      <c r="H33" s="18">
        <v>46042</v>
      </c>
      <c r="I33" s="18">
        <v>46041</v>
      </c>
      <c r="J33" s="18">
        <v>46041</v>
      </c>
      <c r="K33" s="18">
        <v>46042</v>
      </c>
      <c r="L33" s="15">
        <v>1</v>
      </c>
      <c r="M33" s="14" t="s">
        <v>19</v>
      </c>
      <c r="N33" s="14" t="s">
        <v>157</v>
      </c>
      <c r="O33" s="20" t="s">
        <v>542</v>
      </c>
    </row>
    <row r="34" spans="1:15" ht="15.75" x14ac:dyDescent="0.25">
      <c r="A34" s="14">
        <v>33</v>
      </c>
      <c r="B34" s="15">
        <v>63001650</v>
      </c>
      <c r="C34" s="16" t="s">
        <v>210</v>
      </c>
      <c r="D34" s="16" t="s">
        <v>194</v>
      </c>
      <c r="E34" s="14" t="s">
        <v>161</v>
      </c>
      <c r="F34" s="15">
        <v>21</v>
      </c>
      <c r="G34" s="15">
        <v>936023000851</v>
      </c>
      <c r="H34" s="18">
        <v>46042</v>
      </c>
      <c r="I34" s="18">
        <v>46039</v>
      </c>
      <c r="J34" s="18">
        <v>46044</v>
      </c>
      <c r="K34" s="18">
        <v>46045</v>
      </c>
      <c r="L34" s="15">
        <v>6</v>
      </c>
      <c r="M34" s="14" t="s">
        <v>19</v>
      </c>
      <c r="N34" s="14" t="s">
        <v>157</v>
      </c>
      <c r="O34" s="20" t="s">
        <v>158</v>
      </c>
    </row>
    <row r="35" spans="1:15" ht="15.75" x14ac:dyDescent="0.25">
      <c r="A35" s="14">
        <v>34</v>
      </c>
      <c r="B35" s="15">
        <v>63001940</v>
      </c>
      <c r="C35" s="16" t="s">
        <v>211</v>
      </c>
      <c r="D35" s="16" t="s">
        <v>185</v>
      </c>
      <c r="E35" s="14" t="s">
        <v>155</v>
      </c>
      <c r="F35" s="15">
        <v>21</v>
      </c>
      <c r="G35" s="15">
        <v>800625010760</v>
      </c>
      <c r="H35" s="18">
        <v>46043</v>
      </c>
      <c r="I35" s="18">
        <v>46042</v>
      </c>
      <c r="J35" s="18">
        <v>46042</v>
      </c>
      <c r="K35" s="18">
        <v>46043</v>
      </c>
      <c r="L35" s="15">
        <v>1</v>
      </c>
      <c r="M35" s="14" t="s">
        <v>19</v>
      </c>
      <c r="N35" s="14" t="s">
        <v>157</v>
      </c>
      <c r="O35" s="20" t="s">
        <v>542</v>
      </c>
    </row>
    <row r="36" spans="1:15" ht="15.75" x14ac:dyDescent="0.25">
      <c r="A36" s="14">
        <v>35</v>
      </c>
      <c r="B36" s="15">
        <v>63001623</v>
      </c>
      <c r="C36" s="16" t="s">
        <v>200</v>
      </c>
      <c r="D36" s="16" t="s">
        <v>201</v>
      </c>
      <c r="E36" s="14" t="s">
        <v>161</v>
      </c>
      <c r="F36" s="15">
        <v>21</v>
      </c>
      <c r="G36" s="15">
        <v>921526006446</v>
      </c>
      <c r="H36" s="18">
        <v>46044</v>
      </c>
      <c r="I36" s="18">
        <v>46043</v>
      </c>
      <c r="J36" s="18">
        <v>46044</v>
      </c>
      <c r="K36" s="18">
        <v>46045</v>
      </c>
      <c r="L36" s="15">
        <v>2</v>
      </c>
      <c r="M36" s="14" t="s">
        <v>19</v>
      </c>
      <c r="N36" s="14" t="s">
        <v>157</v>
      </c>
      <c r="O36" s="20" t="s">
        <v>542</v>
      </c>
    </row>
    <row r="37" spans="1:15" ht="15.75" x14ac:dyDescent="0.25">
      <c r="A37" s="14">
        <v>36</v>
      </c>
      <c r="B37" s="15">
        <v>63001472</v>
      </c>
      <c r="C37" s="16" t="s">
        <v>175</v>
      </c>
      <c r="D37" s="16" t="s">
        <v>176</v>
      </c>
      <c r="E37" s="14" t="s">
        <v>155</v>
      </c>
      <c r="F37" s="15">
        <v>20</v>
      </c>
      <c r="G37" s="15">
        <v>880683011641</v>
      </c>
      <c r="H37" s="18">
        <v>46113</v>
      </c>
      <c r="I37" s="18">
        <v>46113</v>
      </c>
      <c r="J37" s="18">
        <v>46157</v>
      </c>
      <c r="K37" s="18">
        <v>46158</v>
      </c>
      <c r="L37" s="15">
        <v>45</v>
      </c>
      <c r="M37" s="14" t="s">
        <v>19</v>
      </c>
      <c r="N37" s="14" t="s">
        <v>165</v>
      </c>
      <c r="O37" s="20" t="s">
        <v>542</v>
      </c>
    </row>
    <row r="38" spans="1:15" ht="15.75" x14ac:dyDescent="0.25">
      <c r="A38" s="14">
        <v>37</v>
      </c>
      <c r="B38" s="15">
        <v>63001612</v>
      </c>
      <c r="C38" s="16" t="s">
        <v>252</v>
      </c>
      <c r="D38" s="16" t="s">
        <v>213</v>
      </c>
      <c r="E38" s="14" t="s">
        <v>161</v>
      </c>
      <c r="F38" s="15">
        <v>21</v>
      </c>
      <c r="G38" s="15">
        <v>940013049446</v>
      </c>
      <c r="H38" s="18">
        <v>46044</v>
      </c>
      <c r="I38" s="18">
        <v>46043</v>
      </c>
      <c r="J38" s="18">
        <v>46072</v>
      </c>
      <c r="K38" s="18">
        <v>46073</v>
      </c>
      <c r="L38" s="15">
        <v>30</v>
      </c>
      <c r="M38" s="14" t="s">
        <v>19</v>
      </c>
      <c r="N38" s="14" t="s">
        <v>165</v>
      </c>
      <c r="O38" s="20" t="s">
        <v>542</v>
      </c>
    </row>
    <row r="39" spans="1:15" ht="15.75" x14ac:dyDescent="0.25">
      <c r="A39" s="14">
        <v>38</v>
      </c>
      <c r="B39" s="15">
        <v>63001760</v>
      </c>
      <c r="C39" s="16" t="s">
        <v>214</v>
      </c>
      <c r="D39" s="16" t="s">
        <v>215</v>
      </c>
      <c r="E39" s="14" t="s">
        <v>161</v>
      </c>
      <c r="F39" s="15">
        <v>21</v>
      </c>
      <c r="G39" s="15">
        <v>690546005049</v>
      </c>
      <c r="H39" s="18">
        <v>46048</v>
      </c>
      <c r="I39" s="18">
        <v>46044</v>
      </c>
      <c r="J39" s="18">
        <v>46048</v>
      </c>
      <c r="K39" s="18">
        <v>46049</v>
      </c>
      <c r="L39" s="15">
        <v>5</v>
      </c>
      <c r="M39" s="14" t="s">
        <v>19</v>
      </c>
      <c r="N39" s="14" t="s">
        <v>157</v>
      </c>
      <c r="O39" s="20" t="s">
        <v>542</v>
      </c>
    </row>
    <row r="40" spans="1:15" ht="15.75" x14ac:dyDescent="0.25">
      <c r="A40" s="14">
        <v>39</v>
      </c>
      <c r="B40" s="15">
        <v>63001696</v>
      </c>
      <c r="C40" s="16" t="s">
        <v>216</v>
      </c>
      <c r="D40" s="16" t="s">
        <v>217</v>
      </c>
      <c r="E40" s="14" t="s">
        <v>155</v>
      </c>
      <c r="F40" s="15">
        <v>18</v>
      </c>
      <c r="G40" s="15">
        <v>941693002143</v>
      </c>
      <c r="H40" s="18">
        <v>46048</v>
      </c>
      <c r="I40" s="18">
        <v>46047</v>
      </c>
      <c r="J40" s="18">
        <v>46048</v>
      </c>
      <c r="K40" s="18">
        <v>46049</v>
      </c>
      <c r="L40" s="15">
        <v>2</v>
      </c>
      <c r="M40" s="14" t="s">
        <v>19</v>
      </c>
      <c r="N40" s="14" t="s">
        <v>157</v>
      </c>
      <c r="O40" s="20" t="s">
        <v>542</v>
      </c>
    </row>
    <row r="41" spans="1:15" ht="15.75" x14ac:dyDescent="0.25">
      <c r="A41" s="14">
        <v>40</v>
      </c>
      <c r="B41" s="15">
        <v>63001494</v>
      </c>
      <c r="C41" s="16" t="s">
        <v>218</v>
      </c>
      <c r="D41" s="16" t="s">
        <v>219</v>
      </c>
      <c r="E41" s="14" t="s">
        <v>161</v>
      </c>
      <c r="F41" s="15">
        <v>22</v>
      </c>
      <c r="G41" s="15">
        <v>832733004844</v>
      </c>
      <c r="H41" s="18">
        <v>46049</v>
      </c>
      <c r="I41" s="18">
        <v>46047</v>
      </c>
      <c r="J41" s="18">
        <v>46049</v>
      </c>
      <c r="K41" s="18">
        <v>46050</v>
      </c>
      <c r="L41" s="15">
        <v>3</v>
      </c>
      <c r="M41" s="14" t="s">
        <v>19</v>
      </c>
      <c r="N41" s="14" t="s">
        <v>157</v>
      </c>
      <c r="O41" s="20" t="s">
        <v>542</v>
      </c>
    </row>
    <row r="42" spans="1:15" ht="15.75" x14ac:dyDescent="0.25">
      <c r="A42" s="14">
        <v>41</v>
      </c>
      <c r="B42" s="15">
        <v>63001796</v>
      </c>
      <c r="C42" s="16" t="s">
        <v>220</v>
      </c>
      <c r="D42" s="16" t="s">
        <v>221</v>
      </c>
      <c r="E42" s="14" t="s">
        <v>155</v>
      </c>
      <c r="F42" s="15">
        <v>17</v>
      </c>
      <c r="G42" s="15">
        <v>896819000340</v>
      </c>
      <c r="H42" s="18">
        <v>46049</v>
      </c>
      <c r="I42" s="18">
        <v>46048</v>
      </c>
      <c r="J42" s="18">
        <v>46050</v>
      </c>
      <c r="K42" s="18">
        <v>46051</v>
      </c>
      <c r="L42" s="15">
        <v>3</v>
      </c>
      <c r="M42" s="14" t="s">
        <v>19</v>
      </c>
      <c r="N42" s="14" t="s">
        <v>157</v>
      </c>
      <c r="O42" s="20" t="s">
        <v>542</v>
      </c>
    </row>
    <row r="43" spans="1:15" ht="15.75" x14ac:dyDescent="0.25">
      <c r="A43" s="14">
        <v>42</v>
      </c>
      <c r="B43" s="15">
        <v>63001351</v>
      </c>
      <c r="C43" s="16" t="s">
        <v>222</v>
      </c>
      <c r="D43" s="16" t="s">
        <v>223</v>
      </c>
      <c r="E43" s="14" t="s">
        <v>155</v>
      </c>
      <c r="F43" s="15">
        <v>20</v>
      </c>
      <c r="G43" s="15">
        <v>930119003357</v>
      </c>
      <c r="H43" s="18">
        <v>46054</v>
      </c>
      <c r="I43" s="18">
        <v>46050</v>
      </c>
      <c r="J43" s="18">
        <v>46051</v>
      </c>
      <c r="K43" s="18">
        <v>46052</v>
      </c>
      <c r="L43" s="15">
        <v>2</v>
      </c>
      <c r="M43" s="14" t="s">
        <v>19</v>
      </c>
      <c r="N43" s="14" t="s">
        <v>157</v>
      </c>
      <c r="O43" s="20" t="s">
        <v>542</v>
      </c>
    </row>
    <row r="44" spans="1:15" ht="15.75" x14ac:dyDescent="0.25">
      <c r="A44" s="14">
        <v>43</v>
      </c>
      <c r="B44" s="15">
        <v>63001623</v>
      </c>
      <c r="C44" s="16" t="s">
        <v>200</v>
      </c>
      <c r="D44" s="16" t="s">
        <v>201</v>
      </c>
      <c r="E44" s="14" t="s">
        <v>161</v>
      </c>
      <c r="F44" s="15">
        <v>21</v>
      </c>
      <c r="G44" s="15">
        <v>921526006446</v>
      </c>
      <c r="H44" s="18">
        <v>46054</v>
      </c>
      <c r="I44" s="18">
        <v>46051</v>
      </c>
      <c r="J44" s="18">
        <v>46051</v>
      </c>
      <c r="K44" s="18">
        <v>46052</v>
      </c>
      <c r="L44" s="15">
        <v>1</v>
      </c>
      <c r="M44" s="14" t="s">
        <v>19</v>
      </c>
      <c r="N44" s="14" t="s">
        <v>157</v>
      </c>
      <c r="O44" s="20" t="s">
        <v>542</v>
      </c>
    </row>
    <row r="45" spans="1:15" ht="15.75" x14ac:dyDescent="0.25">
      <c r="A45" s="14">
        <v>44</v>
      </c>
      <c r="B45" s="15">
        <v>63001500</v>
      </c>
      <c r="C45" s="16" t="s">
        <v>186</v>
      </c>
      <c r="D45" s="16" t="s">
        <v>187</v>
      </c>
      <c r="E45" s="14" t="s">
        <v>155</v>
      </c>
      <c r="F45" s="15">
        <v>20</v>
      </c>
      <c r="G45" s="15">
        <v>850409004354</v>
      </c>
      <c r="H45" s="18">
        <v>46054</v>
      </c>
      <c r="I45" s="18">
        <v>46050</v>
      </c>
      <c r="J45" s="18">
        <v>46051</v>
      </c>
      <c r="K45" s="18">
        <v>46052</v>
      </c>
      <c r="L45" s="15">
        <v>2</v>
      </c>
      <c r="M45" s="14" t="s">
        <v>19</v>
      </c>
      <c r="N45" s="14" t="s">
        <v>157</v>
      </c>
      <c r="O45" s="20" t="s">
        <v>542</v>
      </c>
    </row>
    <row r="46" spans="1:15" ht="15.75" x14ac:dyDescent="0.25">
      <c r="A46" s="14">
        <v>45</v>
      </c>
      <c r="B46" s="15">
        <v>63001823</v>
      </c>
      <c r="C46" s="16" t="s">
        <v>224</v>
      </c>
      <c r="D46" s="16" t="s">
        <v>225</v>
      </c>
      <c r="E46" s="14" t="s">
        <v>155</v>
      </c>
      <c r="F46" s="15">
        <v>20</v>
      </c>
      <c r="G46" s="15">
        <v>923199001538</v>
      </c>
      <c r="H46" s="18">
        <v>46054</v>
      </c>
      <c r="I46" s="18">
        <v>46051</v>
      </c>
      <c r="J46" s="18">
        <v>46051</v>
      </c>
      <c r="K46" s="18">
        <v>46052</v>
      </c>
      <c r="L46" s="15">
        <v>1</v>
      </c>
      <c r="M46" s="14" t="s">
        <v>19</v>
      </c>
      <c r="N46" s="14" t="s">
        <v>157</v>
      </c>
      <c r="O46" s="20" t="s">
        <v>542</v>
      </c>
    </row>
    <row r="47" spans="1:15" ht="15.75" x14ac:dyDescent="0.25">
      <c r="A47" s="14">
        <v>46</v>
      </c>
      <c r="B47" s="15">
        <v>63001519</v>
      </c>
      <c r="C47" s="16" t="s">
        <v>226</v>
      </c>
      <c r="D47" s="16" t="s">
        <v>227</v>
      </c>
      <c r="E47" s="14" t="s">
        <v>161</v>
      </c>
      <c r="F47" s="15">
        <v>21</v>
      </c>
      <c r="G47" s="15">
        <v>910617003851</v>
      </c>
      <c r="H47" s="18">
        <v>46054</v>
      </c>
      <c r="I47" s="18">
        <v>46050</v>
      </c>
      <c r="J47" s="18">
        <v>46051</v>
      </c>
      <c r="K47" s="18">
        <v>46052</v>
      </c>
      <c r="L47" s="15">
        <v>2</v>
      </c>
      <c r="M47" s="14" t="s">
        <v>19</v>
      </c>
      <c r="N47" s="14" t="s">
        <v>157</v>
      </c>
      <c r="O47" s="20" t="s">
        <v>542</v>
      </c>
    </row>
    <row r="48" spans="1:15" ht="15.75" x14ac:dyDescent="0.25">
      <c r="A48" s="14">
        <v>47</v>
      </c>
      <c r="B48" s="15">
        <v>63001623</v>
      </c>
      <c r="C48" s="16" t="s">
        <v>200</v>
      </c>
      <c r="D48" s="16" t="s">
        <v>201</v>
      </c>
      <c r="E48" s="14" t="s">
        <v>161</v>
      </c>
      <c r="F48" s="15">
        <v>21</v>
      </c>
      <c r="G48" s="15">
        <v>921526006446</v>
      </c>
      <c r="H48" s="18">
        <v>46054</v>
      </c>
      <c r="I48" s="18">
        <v>46048</v>
      </c>
      <c r="J48" s="18">
        <v>46050</v>
      </c>
      <c r="K48" s="18">
        <v>46051</v>
      </c>
      <c r="L48" s="15">
        <v>3</v>
      </c>
      <c r="M48" s="14" t="s">
        <v>19</v>
      </c>
      <c r="N48" s="14" t="s">
        <v>157</v>
      </c>
      <c r="O48" s="20" t="s">
        <v>542</v>
      </c>
    </row>
    <row r="49" spans="1:15" ht="15.75" x14ac:dyDescent="0.25">
      <c r="A49" s="14">
        <v>48</v>
      </c>
      <c r="B49" s="15">
        <v>63001439</v>
      </c>
      <c r="C49" s="16" t="s">
        <v>228</v>
      </c>
      <c r="D49" s="16" t="s">
        <v>189</v>
      </c>
      <c r="E49" s="14" t="s">
        <v>161</v>
      </c>
      <c r="F49" s="15">
        <v>22</v>
      </c>
      <c r="G49" s="15">
        <v>893757001141</v>
      </c>
      <c r="H49" s="18">
        <v>46054</v>
      </c>
      <c r="I49" s="18">
        <v>46049</v>
      </c>
      <c r="J49" s="18">
        <v>46060</v>
      </c>
      <c r="K49" s="18">
        <v>46061</v>
      </c>
      <c r="L49" s="15">
        <v>12</v>
      </c>
      <c r="M49" s="14" t="s">
        <v>19</v>
      </c>
      <c r="N49" s="14" t="s">
        <v>157</v>
      </c>
      <c r="O49" s="20" t="s">
        <v>542</v>
      </c>
    </row>
    <row r="50" spans="1:15" ht="15.75" x14ac:dyDescent="0.25">
      <c r="A50" s="14">
        <v>49</v>
      </c>
      <c r="B50" s="15">
        <v>63001656</v>
      </c>
      <c r="C50" s="16" t="s">
        <v>229</v>
      </c>
      <c r="D50" s="16" t="s">
        <v>230</v>
      </c>
      <c r="E50" s="14" t="s">
        <v>231</v>
      </c>
      <c r="F50" s="15">
        <v>14</v>
      </c>
      <c r="G50" s="15">
        <v>870432021060</v>
      </c>
      <c r="H50" s="18">
        <v>46054</v>
      </c>
      <c r="I50" s="18">
        <v>46051</v>
      </c>
      <c r="J50" s="18">
        <v>46051</v>
      </c>
      <c r="K50" s="18">
        <v>46052</v>
      </c>
      <c r="L50" s="15">
        <v>1</v>
      </c>
      <c r="M50" s="14" t="s">
        <v>19</v>
      </c>
      <c r="N50" s="14" t="s">
        <v>157</v>
      </c>
      <c r="O50" s="20" t="s">
        <v>542</v>
      </c>
    </row>
    <row r="51" spans="1:15" ht="15.75" x14ac:dyDescent="0.25">
      <c r="A51" s="14">
        <v>50</v>
      </c>
      <c r="B51" s="15">
        <v>63001564</v>
      </c>
      <c r="C51" s="16" t="s">
        <v>232</v>
      </c>
      <c r="D51" s="16" t="s">
        <v>178</v>
      </c>
      <c r="E51" s="14" t="s">
        <v>155</v>
      </c>
      <c r="F51" s="15">
        <v>20</v>
      </c>
      <c r="G51" s="15">
        <v>899924000138</v>
      </c>
      <c r="H51" s="18">
        <v>46054</v>
      </c>
      <c r="I51" s="18">
        <v>46047</v>
      </c>
      <c r="J51" s="18">
        <v>46048</v>
      </c>
      <c r="K51" s="18">
        <v>46049</v>
      </c>
      <c r="L51" s="15">
        <v>2</v>
      </c>
      <c r="M51" s="14" t="s">
        <v>19</v>
      </c>
      <c r="N51" s="14" t="s">
        <v>157</v>
      </c>
      <c r="O51" s="20" t="s">
        <v>542</v>
      </c>
    </row>
    <row r="52" spans="1:15" ht="15.75" x14ac:dyDescent="0.25">
      <c r="A52" s="14">
        <v>51</v>
      </c>
      <c r="B52" s="15">
        <v>63001472</v>
      </c>
      <c r="C52" s="16" t="s">
        <v>175</v>
      </c>
      <c r="D52" s="16" t="s">
        <v>176</v>
      </c>
      <c r="E52" s="14" t="s">
        <v>155</v>
      </c>
      <c r="F52" s="15">
        <v>20</v>
      </c>
      <c r="G52" s="15">
        <v>880683011641</v>
      </c>
      <c r="H52" s="18">
        <v>46159</v>
      </c>
      <c r="I52" s="18">
        <v>46158</v>
      </c>
      <c r="J52" s="18">
        <v>46202</v>
      </c>
      <c r="K52" s="18">
        <v>46203</v>
      </c>
      <c r="L52" s="15">
        <v>45</v>
      </c>
      <c r="M52" s="14" t="s">
        <v>19</v>
      </c>
      <c r="N52" s="14" t="s">
        <v>165</v>
      </c>
      <c r="O52" s="20" t="s">
        <v>542</v>
      </c>
    </row>
    <row r="53" spans="1:15" ht="15.75" x14ac:dyDescent="0.25">
      <c r="A53" s="14">
        <v>52</v>
      </c>
      <c r="B53" s="15">
        <v>63001889</v>
      </c>
      <c r="C53" s="16" t="s">
        <v>233</v>
      </c>
      <c r="D53" s="16" t="s">
        <v>234</v>
      </c>
      <c r="E53" s="14" t="s">
        <v>161</v>
      </c>
      <c r="F53" s="15">
        <v>24</v>
      </c>
      <c r="G53" s="15">
        <v>710821004261</v>
      </c>
      <c r="H53" s="18">
        <v>46055</v>
      </c>
      <c r="I53" s="18">
        <v>46051</v>
      </c>
      <c r="J53" s="18">
        <v>46051</v>
      </c>
      <c r="K53" s="18">
        <v>46052</v>
      </c>
      <c r="L53" s="15">
        <v>1</v>
      </c>
      <c r="M53" s="14" t="s">
        <v>19</v>
      </c>
      <c r="N53" s="14" t="s">
        <v>157</v>
      </c>
      <c r="O53" s="20" t="s">
        <v>542</v>
      </c>
    </row>
    <row r="54" spans="1:15" ht="15.75" x14ac:dyDescent="0.25">
      <c r="A54" s="14">
        <v>53</v>
      </c>
      <c r="B54" s="15">
        <v>63001362</v>
      </c>
      <c r="C54" s="16" t="s">
        <v>235</v>
      </c>
      <c r="D54" s="16" t="s">
        <v>236</v>
      </c>
      <c r="E54" s="14" t="s">
        <v>161</v>
      </c>
      <c r="F54" s="15">
        <v>24</v>
      </c>
      <c r="G54" s="15">
        <v>850788004534</v>
      </c>
      <c r="H54" s="18">
        <v>46054</v>
      </c>
      <c r="I54" s="18">
        <v>46054</v>
      </c>
      <c r="J54" s="18">
        <v>46054</v>
      </c>
      <c r="K54" s="18">
        <v>46055</v>
      </c>
      <c r="L54" s="15">
        <v>1</v>
      </c>
      <c r="M54" s="14" t="s">
        <v>19</v>
      </c>
      <c r="N54" s="14" t="s">
        <v>157</v>
      </c>
      <c r="O54" s="20" t="s">
        <v>542</v>
      </c>
    </row>
    <row r="55" spans="1:15" ht="15.75" x14ac:dyDescent="0.25">
      <c r="A55" s="14">
        <v>54</v>
      </c>
      <c r="B55" s="15">
        <v>63037004</v>
      </c>
      <c r="C55" s="16" t="s">
        <v>237</v>
      </c>
      <c r="D55" s="16" t="s">
        <v>171</v>
      </c>
      <c r="E55" s="14" t="s">
        <v>155</v>
      </c>
      <c r="F55" s="15"/>
      <c r="G55" s="15">
        <v>30234025963</v>
      </c>
      <c r="H55" s="18">
        <v>46056</v>
      </c>
      <c r="I55" s="18">
        <v>46047</v>
      </c>
      <c r="J55" s="18">
        <v>46047</v>
      </c>
      <c r="K55" s="18">
        <v>46048</v>
      </c>
      <c r="L55" s="15">
        <v>1</v>
      </c>
      <c r="M55" s="14" t="s">
        <v>19</v>
      </c>
      <c r="N55" s="14" t="s">
        <v>157</v>
      </c>
      <c r="O55" s="20" t="s">
        <v>542</v>
      </c>
    </row>
    <row r="56" spans="1:15" ht="15.75" x14ac:dyDescent="0.25">
      <c r="A56" s="14">
        <v>55</v>
      </c>
      <c r="B56" s="15">
        <v>63001698</v>
      </c>
      <c r="C56" s="16" t="s">
        <v>182</v>
      </c>
      <c r="D56" s="16" t="s">
        <v>183</v>
      </c>
      <c r="E56" s="14" t="s">
        <v>161</v>
      </c>
      <c r="F56" s="15">
        <v>22</v>
      </c>
      <c r="G56" s="15">
        <v>910461009738</v>
      </c>
      <c r="H56" s="18">
        <v>46057</v>
      </c>
      <c r="I56" s="18">
        <v>46054</v>
      </c>
      <c r="J56" s="18">
        <v>46054</v>
      </c>
      <c r="K56" s="18">
        <v>46055</v>
      </c>
      <c r="L56" s="15">
        <v>1</v>
      </c>
      <c r="M56" s="14" t="s">
        <v>19</v>
      </c>
      <c r="N56" s="14" t="s">
        <v>157</v>
      </c>
      <c r="O56" s="20" t="s">
        <v>542</v>
      </c>
    </row>
    <row r="57" spans="1:15" ht="15.75" x14ac:dyDescent="0.25">
      <c r="A57" s="14">
        <v>56</v>
      </c>
      <c r="B57" s="15">
        <v>63019931</v>
      </c>
      <c r="C57" s="16" t="s">
        <v>238</v>
      </c>
      <c r="D57" s="16"/>
      <c r="E57" s="14"/>
      <c r="F57" s="15">
        <v>20</v>
      </c>
      <c r="G57" s="15">
        <v>881316003551</v>
      </c>
      <c r="H57" s="18">
        <v>46057</v>
      </c>
      <c r="I57" s="18">
        <v>46050</v>
      </c>
      <c r="J57" s="18">
        <v>46050</v>
      </c>
      <c r="K57" s="18">
        <v>46051</v>
      </c>
      <c r="L57" s="15">
        <v>1</v>
      </c>
      <c r="M57" s="14" t="s">
        <v>19</v>
      </c>
      <c r="N57" s="14" t="s">
        <v>157</v>
      </c>
      <c r="O57" s="20" t="s">
        <v>542</v>
      </c>
    </row>
    <row r="58" spans="1:15" ht="15.75" x14ac:dyDescent="0.25">
      <c r="A58" s="14">
        <v>57</v>
      </c>
      <c r="B58" s="15">
        <v>63001493</v>
      </c>
      <c r="C58" s="16" t="s">
        <v>172</v>
      </c>
      <c r="D58" s="16" t="s">
        <v>173</v>
      </c>
      <c r="E58" s="14" t="s">
        <v>161</v>
      </c>
      <c r="F58" s="15">
        <v>23</v>
      </c>
      <c r="G58" s="15">
        <v>822591003344</v>
      </c>
      <c r="H58" s="18">
        <v>46061</v>
      </c>
      <c r="I58" s="18">
        <v>46057</v>
      </c>
      <c r="J58" s="18">
        <v>46058</v>
      </c>
      <c r="K58" s="18">
        <v>46059</v>
      </c>
      <c r="L58" s="15">
        <v>2</v>
      </c>
      <c r="M58" s="14" t="s">
        <v>19</v>
      </c>
      <c r="N58" s="14" t="s">
        <v>157</v>
      </c>
      <c r="O58" s="20" t="s">
        <v>542</v>
      </c>
    </row>
    <row r="59" spans="1:15" ht="15.75" x14ac:dyDescent="0.25">
      <c r="A59" s="14">
        <v>58</v>
      </c>
      <c r="B59" s="15">
        <v>63001414</v>
      </c>
      <c r="C59" s="16" t="s">
        <v>239</v>
      </c>
      <c r="D59" s="16" t="s">
        <v>176</v>
      </c>
      <c r="E59" s="14" t="s">
        <v>155</v>
      </c>
      <c r="F59" s="15">
        <v>20</v>
      </c>
      <c r="G59" s="15">
        <v>891357004638</v>
      </c>
      <c r="H59" s="18">
        <v>46030</v>
      </c>
      <c r="I59" s="18">
        <v>46029</v>
      </c>
      <c r="J59" s="18">
        <v>46058</v>
      </c>
      <c r="K59" s="18">
        <v>46059</v>
      </c>
      <c r="L59" s="15">
        <v>30</v>
      </c>
      <c r="M59" s="14" t="s">
        <v>19</v>
      </c>
      <c r="N59" s="14" t="s">
        <v>157</v>
      </c>
      <c r="O59" s="20" t="s">
        <v>542</v>
      </c>
    </row>
    <row r="60" spans="1:15" ht="15.75" x14ac:dyDescent="0.25">
      <c r="A60" s="14">
        <v>59</v>
      </c>
      <c r="B60" s="15">
        <v>63001793</v>
      </c>
      <c r="C60" s="16" t="s">
        <v>240</v>
      </c>
      <c r="D60" s="16" t="s">
        <v>176</v>
      </c>
      <c r="E60" s="14" t="s">
        <v>155</v>
      </c>
      <c r="F60" s="15">
        <v>20</v>
      </c>
      <c r="G60" s="15">
        <v>950235009144</v>
      </c>
      <c r="H60" s="18">
        <v>46061</v>
      </c>
      <c r="I60" s="18">
        <v>46056</v>
      </c>
      <c r="J60" s="18">
        <v>46056</v>
      </c>
      <c r="K60" s="18">
        <v>46057</v>
      </c>
      <c r="L60" s="15">
        <v>1</v>
      </c>
      <c r="M60" s="14" t="s">
        <v>19</v>
      </c>
      <c r="N60" s="14" t="s">
        <v>157</v>
      </c>
      <c r="O60" s="20" t="s">
        <v>542</v>
      </c>
    </row>
    <row r="61" spans="1:15" ht="15.75" x14ac:dyDescent="0.25">
      <c r="A61" s="14">
        <v>60</v>
      </c>
      <c r="B61" s="15">
        <v>63001807</v>
      </c>
      <c r="C61" s="16" t="s">
        <v>241</v>
      </c>
      <c r="D61" s="16" t="s">
        <v>176</v>
      </c>
      <c r="E61" s="14" t="s">
        <v>155</v>
      </c>
      <c r="F61" s="15">
        <v>20</v>
      </c>
      <c r="G61" s="15">
        <v>973398000633</v>
      </c>
      <c r="H61" s="18">
        <v>46062</v>
      </c>
      <c r="I61" s="18">
        <v>46057</v>
      </c>
      <c r="J61" s="18">
        <v>46058</v>
      </c>
      <c r="K61" s="18">
        <v>46059</v>
      </c>
      <c r="L61" s="15">
        <v>2</v>
      </c>
      <c r="M61" s="14" t="s">
        <v>19</v>
      </c>
      <c r="N61" s="14" t="s">
        <v>157</v>
      </c>
      <c r="O61" s="20" t="s">
        <v>158</v>
      </c>
    </row>
    <row r="62" spans="1:15" ht="15.75" x14ac:dyDescent="0.25">
      <c r="A62" s="14">
        <v>61</v>
      </c>
      <c r="B62" s="15">
        <v>63001807</v>
      </c>
      <c r="C62" s="16" t="s">
        <v>241</v>
      </c>
      <c r="D62" s="16" t="s">
        <v>176</v>
      </c>
      <c r="E62" s="14" t="s">
        <v>155</v>
      </c>
      <c r="F62" s="15">
        <v>20</v>
      </c>
      <c r="G62" s="15">
        <v>973398000633</v>
      </c>
      <c r="H62" s="18">
        <v>46062</v>
      </c>
      <c r="I62" s="18">
        <v>46059</v>
      </c>
      <c r="J62" s="18">
        <v>46066</v>
      </c>
      <c r="K62" s="18">
        <v>46067</v>
      </c>
      <c r="L62" s="15">
        <v>8</v>
      </c>
      <c r="M62" s="14" t="s">
        <v>19</v>
      </c>
      <c r="N62" s="14" t="s">
        <v>165</v>
      </c>
      <c r="O62" s="20" t="s">
        <v>542</v>
      </c>
    </row>
    <row r="63" spans="1:15" ht="15.75" x14ac:dyDescent="0.25">
      <c r="A63" s="14">
        <v>62</v>
      </c>
      <c r="B63" s="15">
        <v>63001675</v>
      </c>
      <c r="C63" s="16" t="s">
        <v>242</v>
      </c>
      <c r="D63" s="16" t="s">
        <v>243</v>
      </c>
      <c r="E63" s="14" t="s">
        <v>161</v>
      </c>
      <c r="F63" s="15">
        <v>22</v>
      </c>
      <c r="G63" s="15">
        <v>921365006243</v>
      </c>
      <c r="H63" s="18">
        <v>46062</v>
      </c>
      <c r="I63" s="18">
        <v>46061</v>
      </c>
      <c r="J63" s="18">
        <v>46061</v>
      </c>
      <c r="K63" s="18">
        <v>46062</v>
      </c>
      <c r="L63" s="15">
        <v>1</v>
      </c>
      <c r="M63" s="14" t="s">
        <v>19</v>
      </c>
      <c r="N63" s="14" t="s">
        <v>157</v>
      </c>
      <c r="O63" s="20" t="s">
        <v>542</v>
      </c>
    </row>
    <row r="64" spans="1:15" ht="15.75" x14ac:dyDescent="0.25">
      <c r="A64" s="14">
        <v>63</v>
      </c>
      <c r="B64" s="15">
        <v>63001397</v>
      </c>
      <c r="C64" s="16" t="s">
        <v>205</v>
      </c>
      <c r="D64" s="16" t="s">
        <v>206</v>
      </c>
      <c r="E64" s="14" t="s">
        <v>161</v>
      </c>
      <c r="F64" s="15">
        <v>24</v>
      </c>
      <c r="G64" s="15">
        <v>854679000635</v>
      </c>
      <c r="H64" s="18">
        <v>46062</v>
      </c>
      <c r="I64" s="18">
        <v>46061</v>
      </c>
      <c r="J64" s="18">
        <v>46075</v>
      </c>
      <c r="K64" s="18">
        <v>46076</v>
      </c>
      <c r="L64" s="15">
        <v>15</v>
      </c>
      <c r="M64" s="14" t="s">
        <v>19</v>
      </c>
      <c r="N64" s="14" t="s">
        <v>165</v>
      </c>
      <c r="O64" s="20" t="s">
        <v>542</v>
      </c>
    </row>
    <row r="65" spans="1:15" ht="15.75" x14ac:dyDescent="0.25">
      <c r="A65" s="14">
        <v>64</v>
      </c>
      <c r="B65" s="15">
        <v>63001456</v>
      </c>
      <c r="C65" s="16" t="s">
        <v>244</v>
      </c>
      <c r="D65" s="16" t="s">
        <v>178</v>
      </c>
      <c r="E65" s="14" t="s">
        <v>155</v>
      </c>
      <c r="F65" s="15">
        <v>20</v>
      </c>
      <c r="G65" s="15">
        <v>890201023162</v>
      </c>
      <c r="H65" s="18">
        <v>46062</v>
      </c>
      <c r="I65" s="18">
        <v>46061</v>
      </c>
      <c r="J65" s="18">
        <v>46061</v>
      </c>
      <c r="K65" s="18">
        <v>46062</v>
      </c>
      <c r="L65" s="15">
        <v>1</v>
      </c>
      <c r="M65" s="14" t="s">
        <v>19</v>
      </c>
      <c r="N65" s="14" t="s">
        <v>157</v>
      </c>
      <c r="O65" s="20" t="s">
        <v>542</v>
      </c>
    </row>
    <row r="66" spans="1:15" ht="15.75" x14ac:dyDescent="0.25">
      <c r="A66" s="14">
        <v>65</v>
      </c>
      <c r="B66" s="15">
        <v>63036921</v>
      </c>
      <c r="C66" s="16" t="s">
        <v>245</v>
      </c>
      <c r="D66" s="16"/>
      <c r="E66" s="14"/>
      <c r="F66" s="15"/>
      <c r="G66" s="15">
        <v>20681008157</v>
      </c>
      <c r="H66" s="18">
        <v>46062</v>
      </c>
      <c r="I66" s="18">
        <v>46056</v>
      </c>
      <c r="J66" s="18">
        <v>46056</v>
      </c>
      <c r="K66" s="18">
        <v>46057</v>
      </c>
      <c r="L66" s="15">
        <v>1</v>
      </c>
      <c r="M66" s="14" t="s">
        <v>19</v>
      </c>
      <c r="N66" s="14" t="s">
        <v>157</v>
      </c>
      <c r="O66" s="20" t="s">
        <v>542</v>
      </c>
    </row>
    <row r="67" spans="1:15" ht="15.75" x14ac:dyDescent="0.25">
      <c r="A67" s="14">
        <v>66</v>
      </c>
      <c r="B67" s="15">
        <v>63001623</v>
      </c>
      <c r="C67" s="16" t="s">
        <v>200</v>
      </c>
      <c r="D67" s="16" t="s">
        <v>201</v>
      </c>
      <c r="E67" s="14" t="s">
        <v>161</v>
      </c>
      <c r="F67" s="15">
        <v>21</v>
      </c>
      <c r="G67" s="15">
        <v>921526006446</v>
      </c>
      <c r="H67" s="18">
        <v>46063</v>
      </c>
      <c r="I67" s="18">
        <v>46062</v>
      </c>
      <c r="J67" s="18">
        <v>46065</v>
      </c>
      <c r="K67" s="18">
        <v>46066</v>
      </c>
      <c r="L67" s="15">
        <v>4</v>
      </c>
      <c r="M67" s="14" t="s">
        <v>19</v>
      </c>
      <c r="N67" s="14" t="s">
        <v>157</v>
      </c>
      <c r="O67" s="20" t="s">
        <v>542</v>
      </c>
    </row>
    <row r="68" spans="1:15" ht="15.75" x14ac:dyDescent="0.25">
      <c r="A68" s="14">
        <v>67</v>
      </c>
      <c r="B68" s="15">
        <v>63037032</v>
      </c>
      <c r="C68" s="16" t="s">
        <v>246</v>
      </c>
      <c r="D68" s="16" t="s">
        <v>247</v>
      </c>
      <c r="E68" s="14"/>
      <c r="F68" s="15"/>
      <c r="G68" s="15">
        <v>2496003556</v>
      </c>
      <c r="H68" s="18">
        <v>46063</v>
      </c>
      <c r="I68" s="18">
        <v>46061</v>
      </c>
      <c r="J68" s="18">
        <v>46062</v>
      </c>
      <c r="K68" s="18">
        <v>46063</v>
      </c>
      <c r="L68" s="15">
        <v>2</v>
      </c>
      <c r="M68" s="14" t="s">
        <v>19</v>
      </c>
      <c r="N68" s="14" t="s">
        <v>157</v>
      </c>
      <c r="O68" s="20" t="s">
        <v>542</v>
      </c>
    </row>
    <row r="69" spans="1:15" ht="15.75" x14ac:dyDescent="0.25">
      <c r="A69" s="14">
        <v>68</v>
      </c>
      <c r="B69" s="15">
        <v>63001718</v>
      </c>
      <c r="C69" s="16" t="s">
        <v>248</v>
      </c>
      <c r="D69" s="16" t="s">
        <v>249</v>
      </c>
      <c r="E69" s="14" t="s">
        <v>155</v>
      </c>
      <c r="F69" s="15"/>
      <c r="G69" s="15">
        <v>920121037452</v>
      </c>
      <c r="H69" s="18">
        <v>46068</v>
      </c>
      <c r="I69" s="18">
        <v>46067</v>
      </c>
      <c r="J69" s="18">
        <v>46087</v>
      </c>
      <c r="K69" s="18">
        <v>46088</v>
      </c>
      <c r="L69" s="15">
        <v>21</v>
      </c>
      <c r="M69" s="14" t="s">
        <v>19</v>
      </c>
      <c r="N69" s="14" t="s">
        <v>165</v>
      </c>
      <c r="O69" s="20" t="s">
        <v>542</v>
      </c>
    </row>
    <row r="70" spans="1:15" ht="15.75" x14ac:dyDescent="0.25">
      <c r="A70" s="14">
        <v>69</v>
      </c>
      <c r="B70" s="15">
        <v>63001827</v>
      </c>
      <c r="C70" s="16" t="s">
        <v>179</v>
      </c>
      <c r="D70" s="16" t="s">
        <v>178</v>
      </c>
      <c r="E70" s="14" t="s">
        <v>155</v>
      </c>
      <c r="F70" s="15">
        <v>20</v>
      </c>
      <c r="G70" s="15">
        <v>670466005048</v>
      </c>
      <c r="H70" s="18">
        <v>46068</v>
      </c>
      <c r="I70" s="18">
        <v>46065</v>
      </c>
      <c r="J70" s="18">
        <v>46066</v>
      </c>
      <c r="K70" s="18">
        <v>46067</v>
      </c>
      <c r="L70" s="15">
        <v>2</v>
      </c>
      <c r="M70" s="14" t="s">
        <v>19</v>
      </c>
      <c r="N70" s="14" t="s">
        <v>157</v>
      </c>
      <c r="O70" s="20" t="s">
        <v>542</v>
      </c>
    </row>
    <row r="71" spans="1:15" ht="15.75" x14ac:dyDescent="0.25">
      <c r="A71" s="14">
        <v>70</v>
      </c>
      <c r="B71" s="15">
        <v>63001337</v>
      </c>
      <c r="C71" s="16" t="s">
        <v>188</v>
      </c>
      <c r="D71" s="16" t="s">
        <v>189</v>
      </c>
      <c r="E71" s="14" t="s">
        <v>161</v>
      </c>
      <c r="F71" s="15">
        <v>22</v>
      </c>
      <c r="G71" s="15">
        <v>890042008543</v>
      </c>
      <c r="H71" s="18">
        <v>46065</v>
      </c>
      <c r="I71" s="18">
        <v>46062</v>
      </c>
      <c r="J71" s="18">
        <v>46091</v>
      </c>
      <c r="K71" s="18">
        <v>46092</v>
      </c>
      <c r="L71" s="15">
        <v>30</v>
      </c>
      <c r="M71" s="14" t="s">
        <v>19</v>
      </c>
      <c r="N71" s="14" t="s">
        <v>165</v>
      </c>
      <c r="O71" s="20" t="s">
        <v>542</v>
      </c>
    </row>
    <row r="72" spans="1:15" ht="15.75" x14ac:dyDescent="0.25">
      <c r="A72" s="14">
        <v>71</v>
      </c>
      <c r="B72" s="15">
        <v>63001807</v>
      </c>
      <c r="C72" s="16" t="s">
        <v>241</v>
      </c>
      <c r="D72" s="16" t="s">
        <v>176</v>
      </c>
      <c r="E72" s="14" t="s">
        <v>155</v>
      </c>
      <c r="F72" s="15">
        <v>20</v>
      </c>
      <c r="G72" s="15">
        <v>973398000633</v>
      </c>
      <c r="H72" s="18">
        <v>46068</v>
      </c>
      <c r="I72" s="18">
        <v>46067</v>
      </c>
      <c r="J72" s="18">
        <v>46072</v>
      </c>
      <c r="K72" s="18">
        <v>46073</v>
      </c>
      <c r="L72" s="15">
        <v>6</v>
      </c>
      <c r="M72" s="14" t="s">
        <v>19</v>
      </c>
      <c r="N72" s="14" t="s">
        <v>165</v>
      </c>
      <c r="O72" s="20" t="s">
        <v>542</v>
      </c>
    </row>
    <row r="73" spans="1:15" ht="15.75" x14ac:dyDescent="0.25">
      <c r="A73" s="14">
        <v>72</v>
      </c>
      <c r="B73" s="15">
        <v>63010979</v>
      </c>
      <c r="C73" s="16" t="s">
        <v>250</v>
      </c>
      <c r="D73" s="16" t="s">
        <v>251</v>
      </c>
      <c r="E73" s="14" t="s">
        <v>155</v>
      </c>
      <c r="F73" s="15">
        <v>17</v>
      </c>
      <c r="G73" s="15">
        <v>942474003342</v>
      </c>
      <c r="H73" s="18">
        <v>46068</v>
      </c>
      <c r="I73" s="18">
        <v>46063</v>
      </c>
      <c r="J73" s="18">
        <v>46212</v>
      </c>
      <c r="K73" s="18">
        <v>46213</v>
      </c>
      <c r="L73" s="15">
        <v>150</v>
      </c>
      <c r="M73" s="14" t="s">
        <v>156</v>
      </c>
      <c r="N73" s="14" t="s">
        <v>157</v>
      </c>
      <c r="O73" s="20" t="s">
        <v>158</v>
      </c>
    </row>
    <row r="74" spans="1:15" ht="15.75" x14ac:dyDescent="0.25">
      <c r="A74" s="14">
        <v>73</v>
      </c>
      <c r="B74" s="15">
        <v>63001612</v>
      </c>
      <c r="C74" s="16" t="s">
        <v>252</v>
      </c>
      <c r="D74" s="16" t="s">
        <v>213</v>
      </c>
      <c r="E74" s="14" t="s">
        <v>161</v>
      </c>
      <c r="F74" s="15">
        <v>21</v>
      </c>
      <c r="G74" s="15">
        <v>940013049446</v>
      </c>
      <c r="H74" s="18">
        <v>46068</v>
      </c>
      <c r="I74" s="18">
        <v>46053</v>
      </c>
      <c r="J74" s="18">
        <v>46202</v>
      </c>
      <c r="K74" s="18">
        <v>46203</v>
      </c>
      <c r="L74" s="15">
        <v>150</v>
      </c>
      <c r="M74" s="14" t="s">
        <v>156</v>
      </c>
      <c r="N74" s="14" t="s">
        <v>157</v>
      </c>
      <c r="O74" s="20" t="s">
        <v>158</v>
      </c>
    </row>
    <row r="75" spans="1:15" ht="15.75" x14ac:dyDescent="0.25">
      <c r="A75" s="14">
        <v>74</v>
      </c>
      <c r="B75" s="15">
        <v>63001716</v>
      </c>
      <c r="C75" s="16" t="s">
        <v>253</v>
      </c>
      <c r="D75" s="16" t="s">
        <v>254</v>
      </c>
      <c r="E75" s="14" t="s">
        <v>155</v>
      </c>
      <c r="F75" s="15">
        <v>18</v>
      </c>
      <c r="G75" s="15">
        <v>953136001550</v>
      </c>
      <c r="H75" s="18">
        <v>46068</v>
      </c>
      <c r="I75" s="18">
        <v>46068</v>
      </c>
      <c r="J75" s="18">
        <v>46068</v>
      </c>
      <c r="K75" s="18">
        <v>46069</v>
      </c>
      <c r="L75" s="15">
        <v>1</v>
      </c>
      <c r="M75" s="14" t="s">
        <v>19</v>
      </c>
      <c r="N75" s="14" t="s">
        <v>157</v>
      </c>
      <c r="O75" s="20" t="s">
        <v>542</v>
      </c>
    </row>
    <row r="76" spans="1:15" ht="15.75" x14ac:dyDescent="0.25">
      <c r="A76" s="14">
        <v>75</v>
      </c>
      <c r="B76" s="15">
        <v>63010990</v>
      </c>
      <c r="C76" s="16" t="s">
        <v>255</v>
      </c>
      <c r="D76" s="16" t="s">
        <v>247</v>
      </c>
      <c r="E76" s="14" t="s">
        <v>155</v>
      </c>
      <c r="F76" s="15">
        <v>20</v>
      </c>
      <c r="G76" s="15">
        <v>22671003660</v>
      </c>
      <c r="H76" s="18">
        <v>46068</v>
      </c>
      <c r="I76" s="18">
        <v>46068</v>
      </c>
      <c r="J76" s="18">
        <v>46071</v>
      </c>
      <c r="K76" s="18">
        <v>46072</v>
      </c>
      <c r="L76" s="15">
        <v>4</v>
      </c>
      <c r="M76" s="14" t="s">
        <v>19</v>
      </c>
      <c r="N76" s="14" t="s">
        <v>157</v>
      </c>
      <c r="O76" s="20" t="s">
        <v>542</v>
      </c>
    </row>
    <row r="77" spans="1:15" ht="15.75" x14ac:dyDescent="0.25">
      <c r="A77" s="14">
        <v>76</v>
      </c>
      <c r="B77" s="15">
        <v>63001518</v>
      </c>
      <c r="C77" s="16" t="s">
        <v>256</v>
      </c>
      <c r="D77" s="16" t="s">
        <v>257</v>
      </c>
      <c r="E77" s="14" t="s">
        <v>155</v>
      </c>
      <c r="F77" s="15">
        <v>20</v>
      </c>
      <c r="G77" s="15">
        <v>920651011653</v>
      </c>
      <c r="H77" s="18">
        <v>46068</v>
      </c>
      <c r="I77" s="18">
        <v>46064</v>
      </c>
      <c r="J77" s="18">
        <v>46064</v>
      </c>
      <c r="K77" s="18">
        <v>46065</v>
      </c>
      <c r="L77" s="15">
        <v>1</v>
      </c>
      <c r="M77" s="14" t="s">
        <v>19</v>
      </c>
      <c r="N77" s="14" t="s">
        <v>157</v>
      </c>
      <c r="O77" s="20" t="s">
        <v>542</v>
      </c>
    </row>
    <row r="78" spans="1:15" ht="15.75" x14ac:dyDescent="0.25">
      <c r="A78" s="14">
        <v>77</v>
      </c>
      <c r="B78" s="15">
        <v>63010875</v>
      </c>
      <c r="C78" s="16" t="s">
        <v>258</v>
      </c>
      <c r="D78" s="16" t="s">
        <v>176</v>
      </c>
      <c r="E78" s="14" t="s">
        <v>155</v>
      </c>
      <c r="F78" s="15">
        <v>20</v>
      </c>
      <c r="G78" s="15">
        <v>910034047646</v>
      </c>
      <c r="H78" s="18">
        <v>46068</v>
      </c>
      <c r="I78" s="18">
        <v>46063</v>
      </c>
      <c r="J78" s="18">
        <v>46063</v>
      </c>
      <c r="K78" s="18">
        <v>46064</v>
      </c>
      <c r="L78" s="15">
        <v>1</v>
      </c>
      <c r="M78" s="14" t="s">
        <v>19</v>
      </c>
      <c r="N78" s="14" t="s">
        <v>157</v>
      </c>
      <c r="O78" s="20" t="s">
        <v>542</v>
      </c>
    </row>
    <row r="79" spans="1:15" ht="15.75" x14ac:dyDescent="0.25">
      <c r="A79" s="14">
        <v>78</v>
      </c>
      <c r="B79" s="15">
        <v>63001909</v>
      </c>
      <c r="C79" s="16" t="s">
        <v>259</v>
      </c>
      <c r="D79" s="16" t="s">
        <v>260</v>
      </c>
      <c r="E79" s="14" t="s">
        <v>161</v>
      </c>
      <c r="F79" s="15">
        <v>23</v>
      </c>
      <c r="G79" s="15">
        <v>803548002646</v>
      </c>
      <c r="H79" s="18">
        <v>46068</v>
      </c>
      <c r="I79" s="18">
        <v>46061</v>
      </c>
      <c r="J79" s="18">
        <v>46063</v>
      </c>
      <c r="K79" s="18">
        <v>46064</v>
      </c>
      <c r="L79" s="15">
        <v>3</v>
      </c>
      <c r="M79" s="14" t="s">
        <v>19</v>
      </c>
      <c r="N79" s="14" t="s">
        <v>157</v>
      </c>
      <c r="O79" s="20" t="s">
        <v>542</v>
      </c>
    </row>
    <row r="80" spans="1:15" ht="15.75" x14ac:dyDescent="0.25">
      <c r="A80" s="14">
        <v>79</v>
      </c>
      <c r="B80" s="15">
        <v>63001588</v>
      </c>
      <c r="C80" s="16" t="s">
        <v>261</v>
      </c>
      <c r="D80" s="16" t="s">
        <v>262</v>
      </c>
      <c r="E80" s="14" t="s">
        <v>161</v>
      </c>
      <c r="F80" s="15">
        <v>23</v>
      </c>
      <c r="G80" s="15">
        <v>900500003466</v>
      </c>
      <c r="H80" s="18">
        <v>46065</v>
      </c>
      <c r="I80" s="18">
        <v>46057</v>
      </c>
      <c r="J80" s="18">
        <v>46058</v>
      </c>
      <c r="K80" s="18">
        <v>46059</v>
      </c>
      <c r="L80" s="15">
        <v>2</v>
      </c>
      <c r="M80" s="14" t="s">
        <v>19</v>
      </c>
      <c r="N80" s="14" t="s">
        <v>157</v>
      </c>
      <c r="O80" s="20" t="s">
        <v>542</v>
      </c>
    </row>
    <row r="81" spans="1:15" ht="15.75" x14ac:dyDescent="0.25">
      <c r="A81" s="14">
        <v>80</v>
      </c>
      <c r="B81" s="15">
        <v>63037003</v>
      </c>
      <c r="C81" s="16" t="s">
        <v>263</v>
      </c>
      <c r="D81" s="16" t="s">
        <v>171</v>
      </c>
      <c r="E81" s="14" t="s">
        <v>155</v>
      </c>
      <c r="F81" s="15"/>
      <c r="G81" s="15">
        <v>20629005365</v>
      </c>
      <c r="H81" s="18">
        <v>46070</v>
      </c>
      <c r="I81" s="18">
        <v>46061</v>
      </c>
      <c r="J81" s="18">
        <v>46061</v>
      </c>
      <c r="K81" s="18">
        <v>46062</v>
      </c>
      <c r="L81" s="15">
        <v>1</v>
      </c>
      <c r="M81" s="14" t="s">
        <v>19</v>
      </c>
      <c r="N81" s="14" t="s">
        <v>157</v>
      </c>
      <c r="O81" s="20" t="s">
        <v>542</v>
      </c>
    </row>
    <row r="82" spans="1:15" ht="15.75" x14ac:dyDescent="0.25">
      <c r="A82" s="14">
        <v>81</v>
      </c>
      <c r="B82" s="15">
        <v>63001698</v>
      </c>
      <c r="C82" s="16" t="s">
        <v>182</v>
      </c>
      <c r="D82" s="16" t="s">
        <v>183</v>
      </c>
      <c r="E82" s="14" t="s">
        <v>161</v>
      </c>
      <c r="F82" s="15">
        <v>22</v>
      </c>
      <c r="G82" s="15">
        <v>910461009738</v>
      </c>
      <c r="H82" s="18">
        <v>46068</v>
      </c>
      <c r="I82" s="18">
        <v>46065</v>
      </c>
      <c r="J82" s="18">
        <v>46065</v>
      </c>
      <c r="K82" s="18">
        <v>46066</v>
      </c>
      <c r="L82" s="15">
        <v>1</v>
      </c>
      <c r="M82" s="14" t="s">
        <v>19</v>
      </c>
      <c r="N82" s="14" t="s">
        <v>157</v>
      </c>
      <c r="O82" s="20" t="s">
        <v>542</v>
      </c>
    </row>
    <row r="83" spans="1:15" ht="15.75" x14ac:dyDescent="0.25">
      <c r="A83" s="14">
        <v>82</v>
      </c>
      <c r="B83" s="15">
        <v>63001500</v>
      </c>
      <c r="C83" s="16" t="s">
        <v>186</v>
      </c>
      <c r="D83" s="16" t="s">
        <v>187</v>
      </c>
      <c r="E83" s="14" t="s">
        <v>155</v>
      </c>
      <c r="F83" s="15">
        <v>20</v>
      </c>
      <c r="G83" s="15">
        <v>850409004354</v>
      </c>
      <c r="H83" s="18">
        <v>46071</v>
      </c>
      <c r="I83" s="18">
        <v>46070</v>
      </c>
      <c r="J83" s="18">
        <v>46070</v>
      </c>
      <c r="K83" s="18">
        <v>46071</v>
      </c>
      <c r="L83" s="15">
        <v>1</v>
      </c>
      <c r="M83" s="14" t="s">
        <v>19</v>
      </c>
      <c r="N83" s="14" t="s">
        <v>157</v>
      </c>
      <c r="O83" s="20" t="s">
        <v>542</v>
      </c>
    </row>
    <row r="84" spans="1:15" ht="15.75" x14ac:dyDescent="0.25">
      <c r="A84" s="14">
        <v>83</v>
      </c>
      <c r="B84" s="15">
        <v>63001592</v>
      </c>
      <c r="C84" s="16" t="s">
        <v>264</v>
      </c>
      <c r="D84" s="16" t="s">
        <v>178</v>
      </c>
      <c r="E84" s="14" t="s">
        <v>155</v>
      </c>
      <c r="F84" s="15">
        <v>20</v>
      </c>
      <c r="G84" s="15">
        <v>884731001447</v>
      </c>
      <c r="H84" s="18">
        <v>46071</v>
      </c>
      <c r="I84" s="18">
        <v>46070</v>
      </c>
      <c r="J84" s="18">
        <v>46072</v>
      </c>
      <c r="K84" s="18">
        <v>46073</v>
      </c>
      <c r="L84" s="15">
        <v>3</v>
      </c>
      <c r="M84" s="14" t="s">
        <v>19</v>
      </c>
      <c r="N84" s="14" t="s">
        <v>157</v>
      </c>
      <c r="O84" s="20" t="s">
        <v>542</v>
      </c>
    </row>
    <row r="85" spans="1:15" ht="15.75" x14ac:dyDescent="0.25">
      <c r="A85" s="14">
        <v>84</v>
      </c>
      <c r="B85" s="15">
        <v>63001451</v>
      </c>
      <c r="C85" s="16" t="s">
        <v>265</v>
      </c>
      <c r="D85" s="16" t="s">
        <v>178</v>
      </c>
      <c r="E85" s="14" t="s">
        <v>155</v>
      </c>
      <c r="F85" s="15">
        <v>20</v>
      </c>
      <c r="G85" s="15">
        <v>870206014356</v>
      </c>
      <c r="H85" s="18">
        <v>46071</v>
      </c>
      <c r="I85" s="18">
        <v>46070</v>
      </c>
      <c r="J85" s="18">
        <v>46070</v>
      </c>
      <c r="K85" s="18">
        <v>46071</v>
      </c>
      <c r="L85" s="15">
        <v>1</v>
      </c>
      <c r="M85" s="14" t="s">
        <v>19</v>
      </c>
      <c r="N85" s="14" t="s">
        <v>157</v>
      </c>
      <c r="O85" s="20" t="s">
        <v>542</v>
      </c>
    </row>
    <row r="86" spans="1:15" ht="15.75" x14ac:dyDescent="0.25">
      <c r="A86" s="14">
        <v>85</v>
      </c>
      <c r="B86" s="15">
        <v>63001698</v>
      </c>
      <c r="C86" s="16" t="s">
        <v>182</v>
      </c>
      <c r="D86" s="16" t="s">
        <v>183</v>
      </c>
      <c r="E86" s="14" t="s">
        <v>161</v>
      </c>
      <c r="F86" s="15">
        <v>22</v>
      </c>
      <c r="G86" s="15">
        <v>910461009738</v>
      </c>
      <c r="H86" s="18">
        <v>46071</v>
      </c>
      <c r="I86" s="18">
        <v>46069</v>
      </c>
      <c r="J86" s="18">
        <v>46069</v>
      </c>
      <c r="K86" s="18">
        <v>46070</v>
      </c>
      <c r="L86" s="15">
        <v>1</v>
      </c>
      <c r="M86" s="14" t="s">
        <v>19</v>
      </c>
      <c r="N86" s="14" t="s">
        <v>157</v>
      </c>
      <c r="O86" s="20" t="s">
        <v>542</v>
      </c>
    </row>
    <row r="87" spans="1:15" ht="15.75" x14ac:dyDescent="0.25">
      <c r="A87" s="14">
        <v>86</v>
      </c>
      <c r="B87" s="15">
        <v>63001889</v>
      </c>
      <c r="C87" s="16" t="s">
        <v>233</v>
      </c>
      <c r="D87" s="16" t="s">
        <v>234</v>
      </c>
      <c r="E87" s="14" t="s">
        <v>161</v>
      </c>
      <c r="F87" s="15">
        <v>24</v>
      </c>
      <c r="G87" s="15">
        <v>710821004261</v>
      </c>
      <c r="H87" s="18">
        <v>46071</v>
      </c>
      <c r="I87" s="18">
        <v>46069</v>
      </c>
      <c r="J87" s="18">
        <v>46070</v>
      </c>
      <c r="K87" s="18">
        <v>46071</v>
      </c>
      <c r="L87" s="15">
        <v>2</v>
      </c>
      <c r="M87" s="14" t="s">
        <v>19</v>
      </c>
      <c r="N87" s="14" t="s">
        <v>157</v>
      </c>
      <c r="O87" s="20" t="s">
        <v>542</v>
      </c>
    </row>
    <row r="88" spans="1:15" ht="15.75" x14ac:dyDescent="0.25">
      <c r="A88" s="14">
        <v>87</v>
      </c>
      <c r="B88" s="15">
        <v>63001524</v>
      </c>
      <c r="C88" s="16" t="s">
        <v>266</v>
      </c>
      <c r="D88" s="16" t="s">
        <v>267</v>
      </c>
      <c r="E88" s="14" t="s">
        <v>161</v>
      </c>
      <c r="F88" s="15">
        <v>21</v>
      </c>
      <c r="G88" s="15">
        <v>919343000147</v>
      </c>
      <c r="H88" s="18">
        <v>46071</v>
      </c>
      <c r="I88" s="18">
        <v>46068</v>
      </c>
      <c r="J88" s="18">
        <v>46071</v>
      </c>
      <c r="K88" s="18">
        <v>46072</v>
      </c>
      <c r="L88" s="15">
        <v>4</v>
      </c>
      <c r="M88" s="14" t="s">
        <v>19</v>
      </c>
      <c r="N88" s="14" t="s">
        <v>157</v>
      </c>
      <c r="O88" s="20" t="s">
        <v>542</v>
      </c>
    </row>
    <row r="89" spans="1:15" ht="15.75" x14ac:dyDescent="0.25">
      <c r="A89" s="14">
        <v>88</v>
      </c>
      <c r="B89" s="15">
        <v>63001494</v>
      </c>
      <c r="C89" s="16" t="s">
        <v>218</v>
      </c>
      <c r="D89" s="16" t="s">
        <v>219</v>
      </c>
      <c r="E89" s="14" t="s">
        <v>161</v>
      </c>
      <c r="F89" s="15">
        <v>22</v>
      </c>
      <c r="G89" s="15">
        <v>832733004844</v>
      </c>
      <c r="H89" s="18">
        <v>46071</v>
      </c>
      <c r="I89" s="18">
        <v>46069</v>
      </c>
      <c r="J89" s="18">
        <v>46071</v>
      </c>
      <c r="K89" s="18">
        <v>46072</v>
      </c>
      <c r="L89" s="15">
        <v>3</v>
      </c>
      <c r="M89" s="14" t="s">
        <v>19</v>
      </c>
      <c r="N89" s="14" t="s">
        <v>157</v>
      </c>
      <c r="O89" s="20" t="s">
        <v>542</v>
      </c>
    </row>
    <row r="90" spans="1:15" ht="15.75" x14ac:dyDescent="0.25">
      <c r="A90" s="14">
        <v>89</v>
      </c>
      <c r="B90" s="15">
        <v>63001656</v>
      </c>
      <c r="C90" s="16" t="s">
        <v>229</v>
      </c>
      <c r="D90" s="16" t="s">
        <v>230</v>
      </c>
      <c r="E90" s="14" t="s">
        <v>231</v>
      </c>
      <c r="F90" s="15">
        <v>14</v>
      </c>
      <c r="G90" s="15">
        <v>870432021060</v>
      </c>
      <c r="H90" s="18">
        <v>46072</v>
      </c>
      <c r="I90" s="18">
        <v>46071</v>
      </c>
      <c r="J90" s="18">
        <v>46071</v>
      </c>
      <c r="K90" s="18">
        <v>46072</v>
      </c>
      <c r="L90" s="15">
        <v>1</v>
      </c>
      <c r="M90" s="14" t="s">
        <v>19</v>
      </c>
      <c r="N90" s="14" t="s">
        <v>157</v>
      </c>
      <c r="O90" s="20" t="s">
        <v>542</v>
      </c>
    </row>
    <row r="91" spans="1:15" ht="15.75" x14ac:dyDescent="0.25">
      <c r="A91" s="14">
        <v>90</v>
      </c>
      <c r="B91" s="15">
        <v>63001568</v>
      </c>
      <c r="C91" s="16" t="s">
        <v>195</v>
      </c>
      <c r="D91" s="16" t="s">
        <v>196</v>
      </c>
      <c r="E91" s="14" t="s">
        <v>161</v>
      </c>
      <c r="F91" s="15">
        <v>21</v>
      </c>
      <c r="G91" s="15">
        <v>921848005043</v>
      </c>
      <c r="H91" s="18">
        <v>46071</v>
      </c>
      <c r="I91" s="18">
        <v>46069</v>
      </c>
      <c r="J91" s="18">
        <v>46069</v>
      </c>
      <c r="K91" s="18">
        <v>46070</v>
      </c>
      <c r="L91" s="15">
        <v>1</v>
      </c>
      <c r="M91" s="14" t="s">
        <v>19</v>
      </c>
      <c r="N91" s="14" t="s">
        <v>157</v>
      </c>
      <c r="O91" s="20" t="s">
        <v>542</v>
      </c>
    </row>
    <row r="92" spans="1:15" ht="15.75" x14ac:dyDescent="0.25">
      <c r="A92" s="14">
        <v>91</v>
      </c>
      <c r="B92" s="15">
        <v>63001807</v>
      </c>
      <c r="C92" s="16" t="s">
        <v>241</v>
      </c>
      <c r="D92" s="16" t="s">
        <v>176</v>
      </c>
      <c r="E92" s="14" t="s">
        <v>155</v>
      </c>
      <c r="F92" s="15">
        <v>20</v>
      </c>
      <c r="G92" s="15">
        <v>973398000633</v>
      </c>
      <c r="H92" s="18">
        <v>46075</v>
      </c>
      <c r="I92" s="18">
        <v>46073</v>
      </c>
      <c r="J92" s="18">
        <v>46100</v>
      </c>
      <c r="K92" s="18">
        <v>46101</v>
      </c>
      <c r="L92" s="15">
        <v>28</v>
      </c>
      <c r="M92" s="14" t="s">
        <v>19</v>
      </c>
      <c r="N92" s="14" t="s">
        <v>157</v>
      </c>
      <c r="O92" s="20" t="s">
        <v>542</v>
      </c>
    </row>
    <row r="93" spans="1:15" ht="15.75" x14ac:dyDescent="0.25">
      <c r="A93" s="14">
        <v>92</v>
      </c>
      <c r="B93" s="15">
        <v>63001698</v>
      </c>
      <c r="C93" s="16" t="s">
        <v>182</v>
      </c>
      <c r="D93" s="16" t="s">
        <v>183</v>
      </c>
      <c r="E93" s="14" t="s">
        <v>161</v>
      </c>
      <c r="F93" s="15">
        <v>22</v>
      </c>
      <c r="G93" s="15">
        <v>910461009738</v>
      </c>
      <c r="H93" s="18">
        <v>46076</v>
      </c>
      <c r="I93" s="18">
        <v>46072</v>
      </c>
      <c r="J93" s="18">
        <v>46075</v>
      </c>
      <c r="K93" s="18">
        <v>46076</v>
      </c>
      <c r="L93" s="15">
        <v>4</v>
      </c>
      <c r="M93" s="14" t="s">
        <v>19</v>
      </c>
      <c r="N93" s="14" t="s">
        <v>157</v>
      </c>
      <c r="O93" s="20" t="s">
        <v>542</v>
      </c>
    </row>
    <row r="94" spans="1:15" ht="15.75" x14ac:dyDescent="0.25">
      <c r="A94" s="14">
        <v>93</v>
      </c>
      <c r="B94" s="15">
        <v>63001397</v>
      </c>
      <c r="C94" s="16" t="s">
        <v>205</v>
      </c>
      <c r="D94" s="16" t="s">
        <v>206</v>
      </c>
      <c r="E94" s="14" t="s">
        <v>161</v>
      </c>
      <c r="F94" s="15">
        <v>24</v>
      </c>
      <c r="G94" s="15">
        <v>854679000635</v>
      </c>
      <c r="H94" s="18">
        <v>46077</v>
      </c>
      <c r="I94" s="18">
        <v>46076</v>
      </c>
      <c r="J94" s="18">
        <v>45725</v>
      </c>
      <c r="K94" s="18">
        <v>46091</v>
      </c>
      <c r="L94" s="15">
        <v>15</v>
      </c>
      <c r="M94" s="14" t="s">
        <v>19</v>
      </c>
      <c r="N94" s="14" t="s">
        <v>165</v>
      </c>
      <c r="O94" s="20" t="s">
        <v>542</v>
      </c>
    </row>
    <row r="95" spans="1:15" ht="15.75" x14ac:dyDescent="0.25">
      <c r="A95" s="14">
        <v>94</v>
      </c>
      <c r="B95" s="15">
        <v>63001392</v>
      </c>
      <c r="C95" s="16" t="s">
        <v>268</v>
      </c>
      <c r="D95" s="16" t="s">
        <v>269</v>
      </c>
      <c r="E95" s="14" t="s">
        <v>161</v>
      </c>
      <c r="F95" s="15">
        <v>22</v>
      </c>
      <c r="G95" s="15">
        <v>884570001442</v>
      </c>
      <c r="H95" s="18">
        <v>46077</v>
      </c>
      <c r="I95" s="18">
        <v>46075</v>
      </c>
      <c r="J95" s="18">
        <v>46088</v>
      </c>
      <c r="K95" s="18">
        <v>46089</v>
      </c>
      <c r="L95" s="15">
        <v>14</v>
      </c>
      <c r="M95" s="14" t="s">
        <v>19</v>
      </c>
      <c r="N95" s="14" t="s">
        <v>157</v>
      </c>
      <c r="O95" s="20" t="s">
        <v>542</v>
      </c>
    </row>
    <row r="96" spans="1:15" ht="15.75" x14ac:dyDescent="0.25">
      <c r="A96" s="14">
        <v>95</v>
      </c>
      <c r="B96" s="15">
        <v>63001827</v>
      </c>
      <c r="C96" s="16" t="s">
        <v>179</v>
      </c>
      <c r="D96" s="16" t="s">
        <v>178</v>
      </c>
      <c r="E96" s="14" t="s">
        <v>155</v>
      </c>
      <c r="F96" s="15">
        <v>20</v>
      </c>
      <c r="G96" s="15">
        <v>670466005048</v>
      </c>
      <c r="H96" s="18">
        <v>46077</v>
      </c>
      <c r="I96" s="18">
        <v>46073</v>
      </c>
      <c r="J96" s="18">
        <v>46073</v>
      </c>
      <c r="K96" s="18">
        <v>46074</v>
      </c>
      <c r="L96" s="15">
        <v>1</v>
      </c>
      <c r="M96" s="14" t="s">
        <v>19</v>
      </c>
      <c r="N96" s="14" t="s">
        <v>157</v>
      </c>
      <c r="O96" s="20" t="s">
        <v>542</v>
      </c>
    </row>
    <row r="97" spans="1:15" ht="15.75" x14ac:dyDescent="0.25">
      <c r="A97" s="14">
        <v>96</v>
      </c>
      <c r="B97" s="15">
        <v>63001827</v>
      </c>
      <c r="C97" s="16" t="s">
        <v>179</v>
      </c>
      <c r="D97" s="16" t="s">
        <v>178</v>
      </c>
      <c r="E97" s="14" t="s">
        <v>155</v>
      </c>
      <c r="F97" s="15">
        <v>20</v>
      </c>
      <c r="G97" s="15">
        <v>670466005048</v>
      </c>
      <c r="H97" s="18">
        <v>46077</v>
      </c>
      <c r="I97" s="18">
        <v>46074</v>
      </c>
      <c r="J97" s="18">
        <v>46074</v>
      </c>
      <c r="K97" s="18">
        <v>46075</v>
      </c>
      <c r="L97" s="15">
        <v>1</v>
      </c>
      <c r="M97" s="14" t="s">
        <v>19</v>
      </c>
      <c r="N97" s="14" t="s">
        <v>157</v>
      </c>
      <c r="O97" s="20" t="s">
        <v>542</v>
      </c>
    </row>
    <row r="98" spans="1:15" ht="15.75" x14ac:dyDescent="0.25">
      <c r="A98" s="14">
        <v>97</v>
      </c>
      <c r="B98" s="15">
        <v>63001719</v>
      </c>
      <c r="C98" s="16" t="s">
        <v>163</v>
      </c>
      <c r="D98" s="16" t="s">
        <v>164</v>
      </c>
      <c r="E98" s="14" t="s">
        <v>161</v>
      </c>
      <c r="F98" s="15">
        <v>22</v>
      </c>
      <c r="G98" s="15">
        <v>922129005348</v>
      </c>
      <c r="H98" s="18">
        <v>46079</v>
      </c>
      <c r="I98" s="18">
        <v>46075</v>
      </c>
      <c r="J98" s="18">
        <v>46076</v>
      </c>
      <c r="K98" s="18">
        <v>46077</v>
      </c>
      <c r="L98" s="15">
        <v>2</v>
      </c>
      <c r="M98" s="14" t="s">
        <v>270</v>
      </c>
      <c r="N98" s="14" t="s">
        <v>157</v>
      </c>
      <c r="O98" s="20" t="s">
        <v>158</v>
      </c>
    </row>
    <row r="99" spans="1:15" ht="15.75" x14ac:dyDescent="0.25">
      <c r="A99" s="14">
        <v>98</v>
      </c>
      <c r="B99" s="15">
        <v>63001719</v>
      </c>
      <c r="C99" s="16" t="s">
        <v>163</v>
      </c>
      <c r="D99" s="16" t="s">
        <v>164</v>
      </c>
      <c r="E99" s="14" t="s">
        <v>161</v>
      </c>
      <c r="F99" s="15">
        <v>22</v>
      </c>
      <c r="G99" s="15">
        <v>922129005348</v>
      </c>
      <c r="H99" s="18">
        <v>46079</v>
      </c>
      <c r="I99" s="18">
        <v>46077</v>
      </c>
      <c r="J99" s="18">
        <v>46106</v>
      </c>
      <c r="K99" s="18">
        <v>46107</v>
      </c>
      <c r="L99" s="15">
        <v>30</v>
      </c>
      <c r="M99" s="14" t="s">
        <v>19</v>
      </c>
      <c r="N99" s="14" t="s">
        <v>165</v>
      </c>
      <c r="O99" s="20" t="s">
        <v>158</v>
      </c>
    </row>
    <row r="100" spans="1:15" ht="15.75" x14ac:dyDescent="0.25">
      <c r="A100" s="14">
        <v>99</v>
      </c>
      <c r="B100" s="15">
        <v>63012526</v>
      </c>
      <c r="C100" s="16" t="s">
        <v>271</v>
      </c>
      <c r="D100" s="16" t="s">
        <v>272</v>
      </c>
      <c r="E100" s="14" t="s">
        <v>161</v>
      </c>
      <c r="F100" s="15">
        <v>22</v>
      </c>
      <c r="G100" s="15">
        <v>928199000233</v>
      </c>
      <c r="H100" s="18">
        <v>46079</v>
      </c>
      <c r="I100" s="18">
        <v>46075</v>
      </c>
      <c r="J100" s="18">
        <v>46089</v>
      </c>
      <c r="K100" s="18">
        <v>46090</v>
      </c>
      <c r="L100" s="15">
        <v>15</v>
      </c>
      <c r="M100" s="14" t="s">
        <v>19</v>
      </c>
      <c r="N100" s="14" t="s">
        <v>157</v>
      </c>
      <c r="O100" s="20" t="s">
        <v>158</v>
      </c>
    </row>
    <row r="101" spans="1:15" ht="15.75" x14ac:dyDescent="0.25">
      <c r="A101" s="14">
        <v>100</v>
      </c>
      <c r="B101" s="15">
        <v>63001573</v>
      </c>
      <c r="C101" s="16" t="s">
        <v>273</v>
      </c>
      <c r="D101" s="16" t="s">
        <v>178</v>
      </c>
      <c r="E101" s="14" t="s">
        <v>155</v>
      </c>
      <c r="F101" s="15">
        <v>20</v>
      </c>
      <c r="G101" s="15">
        <v>910267021649</v>
      </c>
      <c r="H101" s="18">
        <v>46079</v>
      </c>
      <c r="I101" s="18">
        <v>46077</v>
      </c>
      <c r="J101" s="18">
        <v>46077</v>
      </c>
      <c r="K101" s="18">
        <v>46078</v>
      </c>
      <c r="L101" s="15">
        <v>1</v>
      </c>
      <c r="M101" s="14" t="s">
        <v>19</v>
      </c>
      <c r="N101" s="14" t="s">
        <v>157</v>
      </c>
      <c r="O101" s="20" t="s">
        <v>542</v>
      </c>
    </row>
    <row r="102" spans="1:15" ht="15.75" x14ac:dyDescent="0.25">
      <c r="A102" s="14">
        <v>101</v>
      </c>
      <c r="B102" s="15">
        <v>63001698</v>
      </c>
      <c r="C102" s="16" t="s">
        <v>182</v>
      </c>
      <c r="D102" s="16" t="s">
        <v>183</v>
      </c>
      <c r="E102" s="14" t="s">
        <v>161</v>
      </c>
      <c r="F102" s="15">
        <v>22</v>
      </c>
      <c r="G102" s="15">
        <v>910461009738</v>
      </c>
      <c r="H102" s="18">
        <v>46079</v>
      </c>
      <c r="I102" s="18">
        <v>46077</v>
      </c>
      <c r="J102" s="18">
        <v>46078</v>
      </c>
      <c r="K102" s="18">
        <v>46079</v>
      </c>
      <c r="L102" s="15">
        <v>2</v>
      </c>
      <c r="M102" s="14" t="s">
        <v>19</v>
      </c>
      <c r="N102" s="14" t="s">
        <v>165</v>
      </c>
      <c r="O102" s="20" t="s">
        <v>542</v>
      </c>
    </row>
    <row r="103" spans="1:15" ht="15.75" x14ac:dyDescent="0.25">
      <c r="A103" s="14">
        <v>102</v>
      </c>
      <c r="B103" s="15">
        <v>63001696</v>
      </c>
      <c r="C103" s="16" t="s">
        <v>216</v>
      </c>
      <c r="D103" s="16" t="s">
        <v>217</v>
      </c>
      <c r="E103" s="14" t="s">
        <v>155</v>
      </c>
      <c r="F103" s="15">
        <v>18</v>
      </c>
      <c r="G103" s="15">
        <v>941693002143</v>
      </c>
      <c r="H103" s="18">
        <v>46083</v>
      </c>
      <c r="I103" s="18">
        <v>46079</v>
      </c>
      <c r="J103" s="18">
        <v>46079</v>
      </c>
      <c r="K103" s="18">
        <v>46080</v>
      </c>
      <c r="L103" s="15">
        <v>1</v>
      </c>
      <c r="M103" s="14" t="s">
        <v>19</v>
      </c>
      <c r="N103" s="14" t="s">
        <v>157</v>
      </c>
      <c r="O103" s="20" t="s">
        <v>542</v>
      </c>
    </row>
    <row r="104" spans="1:15" ht="15.75" x14ac:dyDescent="0.25">
      <c r="A104" s="14">
        <v>103</v>
      </c>
      <c r="B104" s="15">
        <v>63036962</v>
      </c>
      <c r="C104" s="16" t="s">
        <v>274</v>
      </c>
      <c r="D104" s="16" t="s">
        <v>275</v>
      </c>
      <c r="E104" s="14" t="s">
        <v>161</v>
      </c>
      <c r="F104" s="15"/>
      <c r="G104" s="15">
        <v>970096007630</v>
      </c>
      <c r="H104" s="18">
        <v>46083</v>
      </c>
      <c r="I104" s="18">
        <v>46079</v>
      </c>
      <c r="J104" s="18">
        <v>46079</v>
      </c>
      <c r="K104" s="18">
        <v>46080</v>
      </c>
      <c r="L104" s="15">
        <v>1</v>
      </c>
      <c r="M104" s="14" t="s">
        <v>19</v>
      </c>
      <c r="N104" s="14" t="s">
        <v>157</v>
      </c>
      <c r="O104" s="20" t="s">
        <v>542</v>
      </c>
    </row>
    <row r="105" spans="1:15" ht="15.75" x14ac:dyDescent="0.25">
      <c r="A105" s="14">
        <v>104</v>
      </c>
      <c r="B105" s="15">
        <v>63001841</v>
      </c>
      <c r="C105" s="16" t="s">
        <v>190</v>
      </c>
      <c r="D105" s="16" t="s">
        <v>178</v>
      </c>
      <c r="E105" s="14" t="s">
        <v>155</v>
      </c>
      <c r="F105" s="15">
        <v>20</v>
      </c>
      <c r="G105" s="15">
        <v>722904000660</v>
      </c>
      <c r="H105" s="18">
        <v>46083</v>
      </c>
      <c r="I105" s="18">
        <v>46079</v>
      </c>
      <c r="J105" s="18">
        <v>46086</v>
      </c>
      <c r="K105" s="18">
        <v>46087</v>
      </c>
      <c r="L105" s="15">
        <v>8</v>
      </c>
      <c r="M105" s="14" t="s">
        <v>19</v>
      </c>
      <c r="N105" s="14" t="s">
        <v>157</v>
      </c>
      <c r="O105" s="20" t="s">
        <v>158</v>
      </c>
    </row>
    <row r="106" spans="1:15" ht="15.75" x14ac:dyDescent="0.25">
      <c r="A106" s="14">
        <v>105</v>
      </c>
      <c r="B106" s="15">
        <v>63001940</v>
      </c>
      <c r="C106" s="16" t="s">
        <v>211</v>
      </c>
      <c r="D106" s="16" t="s">
        <v>185</v>
      </c>
      <c r="E106" s="14" t="s">
        <v>155</v>
      </c>
      <c r="F106" s="15">
        <v>21</v>
      </c>
      <c r="G106" s="15">
        <v>800625010760</v>
      </c>
      <c r="H106" s="18">
        <v>46083</v>
      </c>
      <c r="I106" s="18">
        <v>46081</v>
      </c>
      <c r="J106" s="18">
        <v>46110</v>
      </c>
      <c r="K106" s="18">
        <v>46111</v>
      </c>
      <c r="L106" s="15">
        <v>30</v>
      </c>
      <c r="M106" s="14" t="s">
        <v>19</v>
      </c>
      <c r="N106" s="14" t="s">
        <v>157</v>
      </c>
      <c r="O106" s="20" t="s">
        <v>542</v>
      </c>
    </row>
    <row r="107" spans="1:15" ht="15.75" x14ac:dyDescent="0.25">
      <c r="A107" s="14">
        <v>106</v>
      </c>
      <c r="B107" s="15">
        <v>63001698</v>
      </c>
      <c r="C107" s="16" t="s">
        <v>182</v>
      </c>
      <c r="D107" s="16" t="s">
        <v>183</v>
      </c>
      <c r="E107" s="14" t="s">
        <v>161</v>
      </c>
      <c r="F107" s="15">
        <v>22</v>
      </c>
      <c r="G107" s="15">
        <v>910461009738</v>
      </c>
      <c r="H107" s="18">
        <v>46083</v>
      </c>
      <c r="I107" s="18">
        <v>46079</v>
      </c>
      <c r="J107" s="18">
        <v>46079</v>
      </c>
      <c r="K107" s="18">
        <v>46080</v>
      </c>
      <c r="L107" s="15">
        <v>1</v>
      </c>
      <c r="M107" s="14" t="s">
        <v>19</v>
      </c>
      <c r="N107" s="14" t="s">
        <v>157</v>
      </c>
      <c r="O107" s="20" t="s">
        <v>542</v>
      </c>
    </row>
    <row r="108" spans="1:15" ht="15.75" x14ac:dyDescent="0.25">
      <c r="A108" s="14">
        <v>107</v>
      </c>
      <c r="B108" s="15">
        <v>63001788</v>
      </c>
      <c r="C108" s="16" t="s">
        <v>276</v>
      </c>
      <c r="D108" s="16" t="s">
        <v>277</v>
      </c>
      <c r="E108" s="14" t="s">
        <v>155</v>
      </c>
      <c r="F108" s="15">
        <v>18</v>
      </c>
      <c r="G108" s="15">
        <v>872863000445</v>
      </c>
      <c r="H108" s="18">
        <v>46083</v>
      </c>
      <c r="I108" s="18">
        <v>46077</v>
      </c>
      <c r="J108" s="18">
        <v>46078</v>
      </c>
      <c r="K108" s="18">
        <v>46079</v>
      </c>
      <c r="L108" s="15">
        <v>2</v>
      </c>
      <c r="M108" s="14" t="s">
        <v>19</v>
      </c>
      <c r="N108" s="14" t="s">
        <v>165</v>
      </c>
      <c r="O108" s="20" t="s">
        <v>158</v>
      </c>
    </row>
    <row r="109" spans="1:15" ht="15.75" x14ac:dyDescent="0.25">
      <c r="A109" s="14">
        <v>108</v>
      </c>
      <c r="B109" s="15">
        <v>63001414</v>
      </c>
      <c r="C109" s="16" t="s">
        <v>239</v>
      </c>
      <c r="D109" s="16" t="s">
        <v>176</v>
      </c>
      <c r="E109" s="14" t="s">
        <v>155</v>
      </c>
      <c r="F109" s="15">
        <v>20</v>
      </c>
      <c r="G109" s="15">
        <v>891357004638</v>
      </c>
      <c r="H109" s="18">
        <v>46061</v>
      </c>
      <c r="I109" s="18">
        <v>46059</v>
      </c>
      <c r="J109" s="18">
        <v>46088</v>
      </c>
      <c r="K109" s="18">
        <v>46089</v>
      </c>
      <c r="L109" s="15">
        <v>30</v>
      </c>
      <c r="M109" s="14" t="s">
        <v>19</v>
      </c>
      <c r="N109" s="14" t="s">
        <v>157</v>
      </c>
      <c r="O109" s="20" t="s">
        <v>542</v>
      </c>
    </row>
    <row r="110" spans="1:15" ht="15.75" x14ac:dyDescent="0.25">
      <c r="A110" s="14">
        <v>109</v>
      </c>
      <c r="B110" s="15">
        <v>63007455</v>
      </c>
      <c r="C110" s="16" t="s">
        <v>278</v>
      </c>
      <c r="D110" s="16" t="s">
        <v>183</v>
      </c>
      <c r="E110" s="14" t="s">
        <v>161</v>
      </c>
      <c r="F110" s="15">
        <v>22</v>
      </c>
      <c r="G110" s="15">
        <v>920186026636</v>
      </c>
      <c r="H110" s="18">
        <v>46082</v>
      </c>
      <c r="I110" s="18">
        <v>46078</v>
      </c>
      <c r="J110" s="18">
        <v>46079</v>
      </c>
      <c r="K110" s="18">
        <v>46080</v>
      </c>
      <c r="L110" s="15">
        <v>2</v>
      </c>
      <c r="M110" s="14" t="s">
        <v>19</v>
      </c>
      <c r="N110" s="14" t="s">
        <v>157</v>
      </c>
      <c r="O110" s="20" t="s">
        <v>542</v>
      </c>
    </row>
    <row r="111" spans="1:15" ht="15.75" x14ac:dyDescent="0.25">
      <c r="A111" s="14">
        <v>110</v>
      </c>
      <c r="B111" s="15">
        <v>63001562</v>
      </c>
      <c r="C111" s="16" t="s">
        <v>279</v>
      </c>
      <c r="D111" s="16" t="s">
        <v>176</v>
      </c>
      <c r="E111" s="14" t="s">
        <v>161</v>
      </c>
      <c r="F111" s="15">
        <v>20</v>
      </c>
      <c r="G111" s="15">
        <v>926513000750</v>
      </c>
      <c r="H111" s="18">
        <v>46083</v>
      </c>
      <c r="I111" s="18">
        <v>46083</v>
      </c>
      <c r="J111" s="18">
        <v>46083</v>
      </c>
      <c r="K111" s="18">
        <v>46084</v>
      </c>
      <c r="L111" s="15">
        <v>1</v>
      </c>
      <c r="M111" s="14" t="s">
        <v>19</v>
      </c>
      <c r="N111" s="14" t="s">
        <v>157</v>
      </c>
      <c r="O111" s="20" t="s">
        <v>542</v>
      </c>
    </row>
    <row r="112" spans="1:15" ht="15.75" x14ac:dyDescent="0.25">
      <c r="A112" s="14">
        <v>111</v>
      </c>
      <c r="B112" s="15">
        <v>63001903</v>
      </c>
      <c r="C112" s="16" t="s">
        <v>184</v>
      </c>
      <c r="D112" s="16" t="s">
        <v>185</v>
      </c>
      <c r="E112" s="14" t="s">
        <v>161</v>
      </c>
      <c r="F112" s="15">
        <v>21</v>
      </c>
      <c r="G112" s="15">
        <v>748614000152</v>
      </c>
      <c r="H112" s="18">
        <v>46084</v>
      </c>
      <c r="I112" s="18">
        <v>46082</v>
      </c>
      <c r="J112" s="18">
        <v>46082</v>
      </c>
      <c r="K112" s="18">
        <v>46083</v>
      </c>
      <c r="L112" s="15">
        <v>1</v>
      </c>
      <c r="M112" s="14" t="s">
        <v>19</v>
      </c>
      <c r="N112" s="14" t="s">
        <v>157</v>
      </c>
      <c r="O112" s="20" t="s">
        <v>542</v>
      </c>
    </row>
    <row r="113" spans="1:15" ht="15.75" x14ac:dyDescent="0.25">
      <c r="A113" s="14">
        <v>112</v>
      </c>
      <c r="B113" s="15">
        <v>63001623</v>
      </c>
      <c r="C113" s="16" t="s">
        <v>200</v>
      </c>
      <c r="D113" s="16" t="s">
        <v>201</v>
      </c>
      <c r="E113" s="14" t="s">
        <v>161</v>
      </c>
      <c r="F113" s="15">
        <v>21</v>
      </c>
      <c r="G113" s="15">
        <v>921526006446</v>
      </c>
      <c r="H113" s="18">
        <v>46084</v>
      </c>
      <c r="I113" s="18">
        <v>46083</v>
      </c>
      <c r="J113" s="18">
        <v>46084</v>
      </c>
      <c r="K113" s="18">
        <v>46085</v>
      </c>
      <c r="L113" s="15">
        <v>2</v>
      </c>
      <c r="M113" s="14" t="s">
        <v>19</v>
      </c>
      <c r="N113" s="14" t="s">
        <v>157</v>
      </c>
      <c r="O113" s="20" t="s">
        <v>158</v>
      </c>
    </row>
    <row r="114" spans="1:15" ht="15.75" x14ac:dyDescent="0.25">
      <c r="A114" s="14">
        <v>113</v>
      </c>
      <c r="B114" s="15">
        <v>63001623</v>
      </c>
      <c r="C114" s="16" t="s">
        <v>200</v>
      </c>
      <c r="D114" s="16" t="s">
        <v>201</v>
      </c>
      <c r="E114" s="14" t="s">
        <v>161</v>
      </c>
      <c r="F114" s="15">
        <v>21</v>
      </c>
      <c r="G114" s="15">
        <v>921526006446</v>
      </c>
      <c r="H114" s="18">
        <v>46086</v>
      </c>
      <c r="I114" s="18">
        <v>46085</v>
      </c>
      <c r="J114" s="18">
        <v>46099</v>
      </c>
      <c r="K114" s="18">
        <v>46100</v>
      </c>
      <c r="L114" s="15">
        <v>15</v>
      </c>
      <c r="M114" s="14" t="s">
        <v>19</v>
      </c>
      <c r="N114" s="14" t="s">
        <v>157</v>
      </c>
      <c r="O114" s="20" t="s">
        <v>158</v>
      </c>
    </row>
    <row r="115" spans="1:15" ht="15.75" x14ac:dyDescent="0.25">
      <c r="A115" s="14">
        <v>114</v>
      </c>
      <c r="B115" s="15">
        <v>63001854</v>
      </c>
      <c r="C115" s="16" t="s">
        <v>280</v>
      </c>
      <c r="D115" s="16" t="s">
        <v>281</v>
      </c>
      <c r="E115" s="14" t="s">
        <v>161</v>
      </c>
      <c r="F115" s="15"/>
      <c r="G115" s="15">
        <v>708755000344</v>
      </c>
      <c r="H115" s="18">
        <v>46086</v>
      </c>
      <c r="I115" s="18">
        <v>46086</v>
      </c>
      <c r="J115" s="18">
        <v>46086</v>
      </c>
      <c r="K115" s="18">
        <v>46087</v>
      </c>
      <c r="L115" s="15">
        <v>1</v>
      </c>
      <c r="M115" s="14" t="s">
        <v>282</v>
      </c>
      <c r="N115" s="14" t="s">
        <v>157</v>
      </c>
      <c r="O115" s="20" t="s">
        <v>158</v>
      </c>
    </row>
    <row r="116" spans="1:15" ht="15.75" x14ac:dyDescent="0.25">
      <c r="A116" s="14">
        <v>115</v>
      </c>
      <c r="B116" s="15">
        <v>63001698</v>
      </c>
      <c r="C116" s="16" t="s">
        <v>182</v>
      </c>
      <c r="D116" s="16" t="s">
        <v>183</v>
      </c>
      <c r="E116" s="14" t="s">
        <v>161</v>
      </c>
      <c r="F116" s="15">
        <v>22</v>
      </c>
      <c r="G116" s="15">
        <v>910461009738</v>
      </c>
      <c r="H116" s="18">
        <v>46084</v>
      </c>
      <c r="I116" s="18">
        <v>46083</v>
      </c>
      <c r="J116" s="18">
        <v>46083</v>
      </c>
      <c r="K116" s="18">
        <v>46084</v>
      </c>
      <c r="L116" s="15">
        <v>1</v>
      </c>
      <c r="M116" s="14" t="s">
        <v>19</v>
      </c>
      <c r="N116" s="14" t="s">
        <v>157</v>
      </c>
      <c r="O116" s="20" t="s">
        <v>542</v>
      </c>
    </row>
    <row r="117" spans="1:15" ht="15.75" x14ac:dyDescent="0.25">
      <c r="A117" s="14">
        <v>116</v>
      </c>
      <c r="B117" s="15">
        <v>63001788</v>
      </c>
      <c r="C117" s="16" t="s">
        <v>276</v>
      </c>
      <c r="D117" s="16" t="s">
        <v>277</v>
      </c>
      <c r="E117" s="14" t="s">
        <v>155</v>
      </c>
      <c r="F117" s="15">
        <v>18</v>
      </c>
      <c r="G117" s="15">
        <v>872863000445</v>
      </c>
      <c r="H117" s="18">
        <v>46084</v>
      </c>
      <c r="I117" s="18">
        <v>46084</v>
      </c>
      <c r="J117" s="18">
        <v>46084</v>
      </c>
      <c r="K117" s="18">
        <v>46085</v>
      </c>
      <c r="L117" s="15">
        <v>1</v>
      </c>
      <c r="M117" s="14" t="s">
        <v>19</v>
      </c>
      <c r="N117" s="14" t="s">
        <v>157</v>
      </c>
      <c r="O117" s="20" t="s">
        <v>542</v>
      </c>
    </row>
    <row r="118" spans="1:15" ht="15.75" x14ac:dyDescent="0.25">
      <c r="A118" s="14">
        <v>117</v>
      </c>
      <c r="B118" s="15">
        <v>63001708</v>
      </c>
      <c r="C118" s="16" t="s">
        <v>283</v>
      </c>
      <c r="D118" s="16" t="s">
        <v>262</v>
      </c>
      <c r="E118" s="14" t="s">
        <v>161</v>
      </c>
      <c r="F118" s="15">
        <v>23</v>
      </c>
      <c r="G118" s="15">
        <v>942080001748</v>
      </c>
      <c r="H118" s="18">
        <v>46084</v>
      </c>
      <c r="I118" s="18">
        <v>46085</v>
      </c>
      <c r="J118" s="18">
        <v>46086</v>
      </c>
      <c r="K118" s="18">
        <v>46087</v>
      </c>
      <c r="L118" s="15">
        <v>2</v>
      </c>
      <c r="M118" s="14" t="s">
        <v>19</v>
      </c>
      <c r="N118" s="14" t="s">
        <v>157</v>
      </c>
      <c r="O118" s="20" t="s">
        <v>542</v>
      </c>
    </row>
    <row r="119" spans="1:15" ht="15.75" x14ac:dyDescent="0.25">
      <c r="A119" s="14">
        <v>118</v>
      </c>
      <c r="B119" s="15">
        <v>63001493</v>
      </c>
      <c r="C119" s="16" t="s">
        <v>172</v>
      </c>
      <c r="D119" s="16" t="s">
        <v>173</v>
      </c>
      <c r="E119" s="14" t="s">
        <v>161</v>
      </c>
      <c r="F119" s="15">
        <v>23</v>
      </c>
      <c r="G119" s="15">
        <v>822591003344</v>
      </c>
      <c r="H119" s="18">
        <v>46084</v>
      </c>
      <c r="I119" s="18">
        <v>46083</v>
      </c>
      <c r="J119" s="18">
        <v>46086</v>
      </c>
      <c r="K119" s="18">
        <v>46087</v>
      </c>
      <c r="L119" s="15">
        <v>4</v>
      </c>
      <c r="M119" s="14" t="s">
        <v>19</v>
      </c>
      <c r="N119" s="14" t="s">
        <v>157</v>
      </c>
      <c r="O119" s="20" t="s">
        <v>542</v>
      </c>
    </row>
    <row r="120" spans="1:15" ht="15.75" x14ac:dyDescent="0.25">
      <c r="A120" s="14">
        <v>119</v>
      </c>
      <c r="B120" s="15">
        <v>63001827</v>
      </c>
      <c r="C120" s="16" t="s">
        <v>179</v>
      </c>
      <c r="D120" s="16" t="s">
        <v>178</v>
      </c>
      <c r="E120" s="14" t="s">
        <v>155</v>
      </c>
      <c r="F120" s="15">
        <v>20</v>
      </c>
      <c r="G120" s="15">
        <v>670466005048</v>
      </c>
      <c r="H120" s="18">
        <v>46084</v>
      </c>
      <c r="I120" s="18">
        <v>46081</v>
      </c>
      <c r="J120" s="18">
        <v>46082</v>
      </c>
      <c r="K120" s="18">
        <v>46083</v>
      </c>
      <c r="L120" s="15">
        <v>2</v>
      </c>
      <c r="M120" s="14" t="s">
        <v>19</v>
      </c>
      <c r="N120" s="14" t="s">
        <v>157</v>
      </c>
      <c r="O120" s="20" t="s">
        <v>542</v>
      </c>
    </row>
    <row r="121" spans="1:15" ht="15.75" x14ac:dyDescent="0.25">
      <c r="A121" s="14">
        <v>120</v>
      </c>
      <c r="B121" s="15">
        <v>63001414</v>
      </c>
      <c r="C121" s="16" t="s">
        <v>239</v>
      </c>
      <c r="D121" s="16" t="s">
        <v>176</v>
      </c>
      <c r="E121" s="14" t="s">
        <v>155</v>
      </c>
      <c r="F121" s="15">
        <v>20</v>
      </c>
      <c r="G121" s="15">
        <v>891357004638</v>
      </c>
      <c r="H121" s="18">
        <v>46090</v>
      </c>
      <c r="I121" s="18">
        <v>46089</v>
      </c>
      <c r="J121" s="18">
        <v>46118</v>
      </c>
      <c r="K121" s="18">
        <v>46119</v>
      </c>
      <c r="L121" s="15">
        <v>30</v>
      </c>
      <c r="M121" s="14" t="s">
        <v>19</v>
      </c>
      <c r="N121" s="14" t="s">
        <v>157</v>
      </c>
      <c r="O121" s="20" t="s">
        <v>542</v>
      </c>
    </row>
    <row r="122" spans="1:15" ht="15.75" x14ac:dyDescent="0.25">
      <c r="A122" s="14">
        <v>121</v>
      </c>
      <c r="B122" s="15">
        <v>63036916</v>
      </c>
      <c r="C122" s="16" t="s">
        <v>284</v>
      </c>
      <c r="D122" s="16" t="s">
        <v>178</v>
      </c>
      <c r="E122" s="14" t="s">
        <v>155</v>
      </c>
      <c r="F122" s="15"/>
      <c r="G122" s="15">
        <v>971883003435</v>
      </c>
      <c r="H122" s="18">
        <v>46090</v>
      </c>
      <c r="I122" s="18">
        <v>46083</v>
      </c>
      <c r="J122" s="18">
        <v>46083</v>
      </c>
      <c r="K122" s="18">
        <v>46084</v>
      </c>
      <c r="L122" s="15">
        <v>1</v>
      </c>
      <c r="M122" s="14" t="s">
        <v>19</v>
      </c>
      <c r="N122" s="14" t="s">
        <v>157</v>
      </c>
      <c r="O122" s="20" t="s">
        <v>542</v>
      </c>
    </row>
    <row r="123" spans="1:15" ht="15.75" x14ac:dyDescent="0.25">
      <c r="A123" s="14">
        <v>122</v>
      </c>
      <c r="B123" s="15">
        <v>63001357</v>
      </c>
      <c r="C123" s="16" t="s">
        <v>285</v>
      </c>
      <c r="D123" s="16" t="s">
        <v>286</v>
      </c>
      <c r="E123" s="14" t="s">
        <v>161</v>
      </c>
      <c r="F123" s="15">
        <v>24</v>
      </c>
      <c r="G123" s="15">
        <v>850054056047</v>
      </c>
      <c r="H123" s="18">
        <v>46090</v>
      </c>
      <c r="I123" s="18">
        <v>46089</v>
      </c>
      <c r="J123" s="18">
        <v>46103</v>
      </c>
      <c r="K123" s="18">
        <v>46104</v>
      </c>
      <c r="L123" s="15">
        <v>30</v>
      </c>
      <c r="M123" s="14" t="s">
        <v>19</v>
      </c>
      <c r="N123" s="14" t="s">
        <v>157</v>
      </c>
      <c r="O123" s="20" t="s">
        <v>542</v>
      </c>
    </row>
    <row r="124" spans="1:15" ht="15.75" x14ac:dyDescent="0.25">
      <c r="A124" s="14">
        <v>123</v>
      </c>
      <c r="B124" s="15">
        <v>63001718</v>
      </c>
      <c r="C124" s="16" t="s">
        <v>248</v>
      </c>
      <c r="D124" s="16" t="s">
        <v>249</v>
      </c>
      <c r="E124" s="14" t="s">
        <v>155</v>
      </c>
      <c r="F124" s="15"/>
      <c r="G124" s="15">
        <v>920121037452</v>
      </c>
      <c r="H124" s="18">
        <v>46090</v>
      </c>
      <c r="I124" s="18">
        <v>46088</v>
      </c>
      <c r="J124" s="18">
        <v>46102</v>
      </c>
      <c r="K124" s="18">
        <v>46103</v>
      </c>
      <c r="L124" s="15">
        <v>15</v>
      </c>
      <c r="M124" s="14" t="s">
        <v>19</v>
      </c>
      <c r="N124" s="14" t="s">
        <v>165</v>
      </c>
      <c r="O124" s="20" t="s">
        <v>542</v>
      </c>
    </row>
    <row r="125" spans="1:15" ht="15.75" x14ac:dyDescent="0.25">
      <c r="A125" s="14">
        <v>124</v>
      </c>
      <c r="B125" s="15">
        <v>63001827</v>
      </c>
      <c r="C125" s="16" t="s">
        <v>179</v>
      </c>
      <c r="D125" s="16" t="s">
        <v>178</v>
      </c>
      <c r="E125" s="14" t="s">
        <v>155</v>
      </c>
      <c r="F125" s="15">
        <v>20</v>
      </c>
      <c r="G125" s="15">
        <v>670466005048</v>
      </c>
      <c r="H125" s="18">
        <v>46090</v>
      </c>
      <c r="I125" s="18">
        <v>46089</v>
      </c>
      <c r="J125" s="18">
        <v>46090</v>
      </c>
      <c r="K125" s="18">
        <v>46091</v>
      </c>
      <c r="L125" s="15">
        <v>2</v>
      </c>
      <c r="M125" s="14" t="s">
        <v>19</v>
      </c>
      <c r="N125" s="14" t="s">
        <v>157</v>
      </c>
      <c r="O125" s="20" t="s">
        <v>542</v>
      </c>
    </row>
    <row r="126" spans="1:15" ht="15.75" x14ac:dyDescent="0.25">
      <c r="A126" s="14">
        <v>125</v>
      </c>
      <c r="B126" s="15">
        <v>63001698</v>
      </c>
      <c r="C126" s="16" t="s">
        <v>182</v>
      </c>
      <c r="D126" s="16" t="s">
        <v>183</v>
      </c>
      <c r="E126" s="14" t="s">
        <v>161</v>
      </c>
      <c r="F126" s="15">
        <v>22</v>
      </c>
      <c r="G126" s="15">
        <v>910461009738</v>
      </c>
      <c r="H126" s="18">
        <v>46091</v>
      </c>
      <c r="I126" s="18">
        <v>46090</v>
      </c>
      <c r="J126" s="18">
        <v>46090</v>
      </c>
      <c r="K126" s="18">
        <v>46091</v>
      </c>
      <c r="L126" s="15">
        <v>1</v>
      </c>
      <c r="M126" s="14" t="s">
        <v>19</v>
      </c>
      <c r="N126" s="14" t="s">
        <v>157</v>
      </c>
      <c r="O126" s="20" t="s">
        <v>542</v>
      </c>
    </row>
    <row r="127" spans="1:15" ht="15.75" x14ac:dyDescent="0.25">
      <c r="A127" s="14">
        <v>126</v>
      </c>
      <c r="B127" s="15">
        <v>63001550</v>
      </c>
      <c r="C127" s="16" t="s">
        <v>287</v>
      </c>
      <c r="D127" s="16" t="s">
        <v>178</v>
      </c>
      <c r="E127" s="14" t="s">
        <v>155</v>
      </c>
      <c r="F127" s="15">
        <v>20</v>
      </c>
      <c r="G127" s="15">
        <v>920138025844</v>
      </c>
      <c r="H127" s="18">
        <v>46091</v>
      </c>
      <c r="I127" s="18">
        <v>46089</v>
      </c>
      <c r="J127" s="18">
        <v>46090</v>
      </c>
      <c r="K127" s="18">
        <v>46091</v>
      </c>
      <c r="L127" s="15">
        <v>2</v>
      </c>
      <c r="M127" s="14" t="s">
        <v>19</v>
      </c>
      <c r="N127" s="14" t="s">
        <v>157</v>
      </c>
      <c r="O127" s="20" t="s">
        <v>542</v>
      </c>
    </row>
    <row r="128" spans="1:15" ht="15.75" x14ac:dyDescent="0.25">
      <c r="A128" s="14">
        <v>127</v>
      </c>
      <c r="B128" s="15">
        <v>63043576</v>
      </c>
      <c r="C128" s="16" t="s">
        <v>288</v>
      </c>
      <c r="D128" s="16" t="s">
        <v>164</v>
      </c>
      <c r="E128" s="14" t="s">
        <v>161</v>
      </c>
      <c r="F128" s="15">
        <v>21</v>
      </c>
      <c r="G128" s="15">
        <v>21623001872</v>
      </c>
      <c r="H128" s="18">
        <v>46092</v>
      </c>
      <c r="I128" s="18">
        <v>46089</v>
      </c>
      <c r="J128" s="18">
        <v>46091</v>
      </c>
      <c r="K128" s="18">
        <v>46092</v>
      </c>
      <c r="L128" s="15">
        <v>3</v>
      </c>
      <c r="M128" s="14" t="s">
        <v>19</v>
      </c>
      <c r="N128" s="14" t="s">
        <v>157</v>
      </c>
      <c r="O128" s="20" t="s">
        <v>542</v>
      </c>
    </row>
    <row r="129" spans="1:15" ht="15.75" x14ac:dyDescent="0.25">
      <c r="A129" s="14">
        <v>128</v>
      </c>
      <c r="B129" s="15">
        <v>63036942</v>
      </c>
      <c r="C129" s="16" t="s">
        <v>289</v>
      </c>
      <c r="D129" s="16" t="s">
        <v>290</v>
      </c>
      <c r="E129" s="14" t="s">
        <v>155</v>
      </c>
      <c r="F129" s="15">
        <v>17</v>
      </c>
      <c r="G129" s="15">
        <v>23883001953</v>
      </c>
      <c r="H129" s="18">
        <v>46092</v>
      </c>
      <c r="I129" s="18">
        <v>46090</v>
      </c>
      <c r="J129" s="18">
        <v>46092</v>
      </c>
      <c r="K129" s="18">
        <v>46093</v>
      </c>
      <c r="L129" s="15">
        <v>1</v>
      </c>
      <c r="M129" s="14" t="s">
        <v>19</v>
      </c>
      <c r="N129" s="14" t="s">
        <v>157</v>
      </c>
      <c r="O129" s="20" t="s">
        <v>542</v>
      </c>
    </row>
    <row r="130" spans="1:15" ht="15.75" x14ac:dyDescent="0.25">
      <c r="A130" s="14">
        <v>129</v>
      </c>
      <c r="B130" s="15">
        <v>63001776</v>
      </c>
      <c r="C130" s="16" t="s">
        <v>291</v>
      </c>
      <c r="D130" s="16" t="s">
        <v>221</v>
      </c>
      <c r="E130" s="14" t="s">
        <v>155</v>
      </c>
      <c r="F130" s="15"/>
      <c r="G130" s="15">
        <v>969448000235</v>
      </c>
      <c r="H130" s="18">
        <v>46092</v>
      </c>
      <c r="I130" s="18">
        <v>46083</v>
      </c>
      <c r="J130" s="18">
        <v>46083</v>
      </c>
      <c r="K130" s="18">
        <v>46084</v>
      </c>
      <c r="L130" s="15">
        <v>1</v>
      </c>
      <c r="M130" s="14" t="s">
        <v>19</v>
      </c>
      <c r="N130" s="14" t="s">
        <v>157</v>
      </c>
      <c r="O130" s="20" t="s">
        <v>542</v>
      </c>
    </row>
    <row r="131" spans="1:15" ht="15.75" x14ac:dyDescent="0.25">
      <c r="A131" s="14">
        <v>130</v>
      </c>
      <c r="B131" s="15">
        <v>63001337</v>
      </c>
      <c r="C131" s="16" t="s">
        <v>188</v>
      </c>
      <c r="D131" s="16" t="s">
        <v>189</v>
      </c>
      <c r="E131" s="14" t="s">
        <v>161</v>
      </c>
      <c r="F131" s="15">
        <v>22</v>
      </c>
      <c r="G131" s="15">
        <v>890042008543</v>
      </c>
      <c r="H131" s="18">
        <v>46093</v>
      </c>
      <c r="I131" s="18">
        <v>46092</v>
      </c>
      <c r="J131" s="18">
        <v>46109</v>
      </c>
      <c r="K131" s="18">
        <v>46110</v>
      </c>
      <c r="L131" s="15">
        <v>18</v>
      </c>
      <c r="M131" s="14" t="s">
        <v>19</v>
      </c>
      <c r="N131" s="14" t="s">
        <v>165</v>
      </c>
      <c r="O131" s="20" t="s">
        <v>542</v>
      </c>
    </row>
    <row r="132" spans="1:15" ht="15.75" x14ac:dyDescent="0.25">
      <c r="A132" s="14">
        <v>131</v>
      </c>
      <c r="B132" s="15">
        <v>63001484</v>
      </c>
      <c r="C132" s="16" t="s">
        <v>292</v>
      </c>
      <c r="D132" s="16" t="s">
        <v>293</v>
      </c>
      <c r="E132" s="14" t="s">
        <v>161</v>
      </c>
      <c r="F132" s="15"/>
      <c r="G132" s="15">
        <v>874732000548</v>
      </c>
      <c r="H132" s="18">
        <v>46093</v>
      </c>
      <c r="I132" s="18">
        <v>46090</v>
      </c>
      <c r="J132" s="18">
        <v>46093</v>
      </c>
      <c r="K132" s="18">
        <v>46094</v>
      </c>
      <c r="L132" s="15">
        <v>4</v>
      </c>
      <c r="M132" s="14" t="s">
        <v>19</v>
      </c>
      <c r="N132" s="14" t="s">
        <v>157</v>
      </c>
      <c r="O132" s="20" t="s">
        <v>542</v>
      </c>
    </row>
    <row r="133" spans="1:15" ht="15.75" x14ac:dyDescent="0.25">
      <c r="A133" s="14">
        <v>132</v>
      </c>
      <c r="B133" s="15">
        <v>63001796</v>
      </c>
      <c r="C133" s="16" t="s">
        <v>220</v>
      </c>
      <c r="D133" s="16" t="s">
        <v>221</v>
      </c>
      <c r="E133" s="14" t="s">
        <v>155</v>
      </c>
      <c r="F133" s="15">
        <v>17</v>
      </c>
      <c r="G133" s="15">
        <v>896819000340</v>
      </c>
      <c r="H133" s="18">
        <v>46098</v>
      </c>
      <c r="I133" s="18">
        <v>46096</v>
      </c>
      <c r="J133" s="18">
        <v>46099</v>
      </c>
      <c r="K133" s="18">
        <v>46100</v>
      </c>
      <c r="L133" s="15">
        <v>4</v>
      </c>
      <c r="M133" s="14" t="s">
        <v>19</v>
      </c>
      <c r="N133" s="14" t="s">
        <v>157</v>
      </c>
      <c r="O133" s="20" t="s">
        <v>542</v>
      </c>
    </row>
    <row r="134" spans="1:15" ht="15.75" x14ac:dyDescent="0.25">
      <c r="A134" s="14">
        <v>133</v>
      </c>
      <c r="B134" s="15">
        <v>63001760</v>
      </c>
      <c r="C134" s="16" t="s">
        <v>214</v>
      </c>
      <c r="D134" s="16" t="s">
        <v>215</v>
      </c>
      <c r="E134" s="14" t="s">
        <v>161</v>
      </c>
      <c r="F134" s="15">
        <v>21</v>
      </c>
      <c r="G134" s="15">
        <v>690546005049</v>
      </c>
      <c r="H134" s="18">
        <v>46098</v>
      </c>
      <c r="I134" s="18">
        <v>46094</v>
      </c>
      <c r="J134" s="18">
        <v>46096</v>
      </c>
      <c r="K134" s="18">
        <v>46097</v>
      </c>
      <c r="L134" s="15">
        <v>3</v>
      </c>
      <c r="M134" s="14" t="s">
        <v>19</v>
      </c>
      <c r="N134" s="14" t="s">
        <v>157</v>
      </c>
      <c r="O134" s="20" t="s">
        <v>542</v>
      </c>
    </row>
    <row r="135" spans="1:15" ht="15.75" x14ac:dyDescent="0.25">
      <c r="A135" s="14">
        <v>134</v>
      </c>
      <c r="B135" s="15">
        <v>63001698</v>
      </c>
      <c r="C135" s="16" t="s">
        <v>182</v>
      </c>
      <c r="D135" s="16" t="s">
        <v>183</v>
      </c>
      <c r="E135" s="14" t="s">
        <v>161</v>
      </c>
      <c r="F135" s="15">
        <v>22</v>
      </c>
      <c r="G135" s="15">
        <v>910461009738</v>
      </c>
      <c r="H135" s="18">
        <v>46098</v>
      </c>
      <c r="I135" s="18">
        <v>46096</v>
      </c>
      <c r="J135" s="18">
        <v>46096</v>
      </c>
      <c r="K135" s="18">
        <v>46097</v>
      </c>
      <c r="L135" s="15">
        <v>1</v>
      </c>
      <c r="M135" s="14" t="s">
        <v>19</v>
      </c>
      <c r="N135" s="14" t="s">
        <v>165</v>
      </c>
      <c r="O135" s="20" t="s">
        <v>542</v>
      </c>
    </row>
    <row r="136" spans="1:15" ht="15.75" x14ac:dyDescent="0.25">
      <c r="A136" s="14">
        <v>135</v>
      </c>
      <c r="B136" s="15">
        <v>63001712</v>
      </c>
      <c r="C136" s="16" t="s">
        <v>294</v>
      </c>
      <c r="D136" s="16" t="s">
        <v>217</v>
      </c>
      <c r="E136" s="14" t="s">
        <v>155</v>
      </c>
      <c r="F136" s="15"/>
      <c r="G136" s="15">
        <v>938135000149</v>
      </c>
      <c r="H136" s="18">
        <v>46098</v>
      </c>
      <c r="I136" s="18">
        <v>46093</v>
      </c>
      <c r="J136" s="18">
        <v>46093</v>
      </c>
      <c r="K136" s="18">
        <v>46094</v>
      </c>
      <c r="L136" s="15">
        <v>1</v>
      </c>
      <c r="M136" s="14" t="s">
        <v>19</v>
      </c>
      <c r="N136" s="14" t="s">
        <v>157</v>
      </c>
      <c r="O136" s="20" t="s">
        <v>542</v>
      </c>
    </row>
    <row r="137" spans="1:15" ht="15.75" x14ac:dyDescent="0.25">
      <c r="A137" s="14">
        <v>136</v>
      </c>
      <c r="B137" s="15">
        <v>63001455</v>
      </c>
      <c r="C137" s="16" t="s">
        <v>295</v>
      </c>
      <c r="D137" s="16" t="s">
        <v>296</v>
      </c>
      <c r="E137" s="14" t="s">
        <v>161</v>
      </c>
      <c r="F137" s="15"/>
      <c r="G137" s="15">
        <v>900974007535</v>
      </c>
      <c r="H137" s="18">
        <v>46098</v>
      </c>
      <c r="I137" s="18">
        <v>46093</v>
      </c>
      <c r="J137" s="18">
        <v>46093</v>
      </c>
      <c r="K137" s="18">
        <v>46094</v>
      </c>
      <c r="L137" s="15">
        <v>1</v>
      </c>
      <c r="M137" s="14" t="s">
        <v>19</v>
      </c>
      <c r="N137" s="14" t="s">
        <v>157</v>
      </c>
      <c r="O137" s="20" t="s">
        <v>542</v>
      </c>
    </row>
    <row r="138" spans="1:15" ht="15.75" x14ac:dyDescent="0.25">
      <c r="A138" s="14">
        <v>137</v>
      </c>
      <c r="B138" s="15">
        <v>63001806</v>
      </c>
      <c r="C138" s="16" t="s">
        <v>297</v>
      </c>
      <c r="D138" s="16" t="s">
        <v>298</v>
      </c>
      <c r="E138" s="14" t="s">
        <v>155</v>
      </c>
      <c r="F138" s="15"/>
      <c r="G138" s="15">
        <v>940287009232</v>
      </c>
      <c r="H138" s="18">
        <v>46098</v>
      </c>
      <c r="I138" s="18">
        <v>46089</v>
      </c>
      <c r="J138" s="18">
        <v>46090</v>
      </c>
      <c r="K138" s="18">
        <v>46091</v>
      </c>
      <c r="L138" s="15">
        <v>2</v>
      </c>
      <c r="M138" s="14" t="s">
        <v>19</v>
      </c>
      <c r="N138" s="14" t="s">
        <v>157</v>
      </c>
      <c r="O138" s="20" t="s">
        <v>542</v>
      </c>
    </row>
    <row r="139" spans="1:15" ht="15.75" x14ac:dyDescent="0.25">
      <c r="A139" s="14">
        <v>138</v>
      </c>
      <c r="B139" s="15">
        <v>63001880</v>
      </c>
      <c r="C139" s="16" t="s">
        <v>299</v>
      </c>
      <c r="D139" s="16" t="s">
        <v>189</v>
      </c>
      <c r="E139" s="14" t="s">
        <v>155</v>
      </c>
      <c r="F139" s="15"/>
      <c r="G139" s="15">
        <v>690350011656</v>
      </c>
      <c r="H139" s="18">
        <v>46098</v>
      </c>
      <c r="I139" s="18">
        <v>46086</v>
      </c>
      <c r="J139" s="18">
        <v>46088</v>
      </c>
      <c r="K139" s="18">
        <v>46089</v>
      </c>
      <c r="L139" s="15">
        <v>3</v>
      </c>
      <c r="M139" s="14" t="s">
        <v>19</v>
      </c>
      <c r="N139" s="14" t="s">
        <v>157</v>
      </c>
      <c r="O139" s="20" t="s">
        <v>542</v>
      </c>
    </row>
    <row r="140" spans="1:15" ht="15.75" x14ac:dyDescent="0.25">
      <c r="A140" s="14">
        <v>139</v>
      </c>
      <c r="B140" s="15">
        <v>63036911</v>
      </c>
      <c r="C140" s="16" t="s">
        <v>300</v>
      </c>
      <c r="D140" s="16" t="s">
        <v>301</v>
      </c>
      <c r="E140" s="14" t="s">
        <v>161</v>
      </c>
      <c r="F140" s="15"/>
      <c r="G140" s="15">
        <v>970313004256</v>
      </c>
      <c r="H140" s="18">
        <v>46098</v>
      </c>
      <c r="I140" s="18">
        <v>46096</v>
      </c>
      <c r="J140" s="18">
        <v>46099</v>
      </c>
      <c r="K140" s="18">
        <v>46100</v>
      </c>
      <c r="L140" s="15">
        <v>4</v>
      </c>
      <c r="M140" s="14" t="s">
        <v>19</v>
      </c>
      <c r="N140" s="14" t="s">
        <v>157</v>
      </c>
      <c r="O140" s="20" t="s">
        <v>542</v>
      </c>
    </row>
    <row r="141" spans="1:15" ht="15.75" x14ac:dyDescent="0.25">
      <c r="A141" s="14">
        <v>140</v>
      </c>
      <c r="B141" s="15">
        <v>63001807</v>
      </c>
      <c r="C141" s="16" t="s">
        <v>241</v>
      </c>
      <c r="D141" s="16" t="s">
        <v>176</v>
      </c>
      <c r="E141" s="14" t="s">
        <v>155</v>
      </c>
      <c r="F141" s="15">
        <v>20</v>
      </c>
      <c r="G141" s="15">
        <v>973398000633</v>
      </c>
      <c r="H141" s="18">
        <v>45740</v>
      </c>
      <c r="I141" s="18">
        <v>46101</v>
      </c>
      <c r="J141" s="18">
        <v>46130</v>
      </c>
      <c r="K141" s="18">
        <v>46131</v>
      </c>
      <c r="L141" s="15">
        <v>30</v>
      </c>
      <c r="M141" s="14" t="s">
        <v>19</v>
      </c>
      <c r="N141" s="14" t="s">
        <v>157</v>
      </c>
      <c r="O141" s="20" t="s">
        <v>158</v>
      </c>
    </row>
    <row r="142" spans="1:15" ht="15.75" x14ac:dyDescent="0.25">
      <c r="A142" s="14">
        <v>141</v>
      </c>
      <c r="B142" s="15">
        <v>63001827</v>
      </c>
      <c r="C142" s="16" t="s">
        <v>179</v>
      </c>
      <c r="D142" s="16" t="s">
        <v>178</v>
      </c>
      <c r="E142" s="14" t="s">
        <v>155</v>
      </c>
      <c r="F142" s="15">
        <v>20</v>
      </c>
      <c r="G142" s="15">
        <v>670466005048</v>
      </c>
      <c r="H142" s="18">
        <v>45740</v>
      </c>
      <c r="I142" s="18">
        <v>46097</v>
      </c>
      <c r="J142" s="18">
        <v>46098</v>
      </c>
      <c r="K142" s="18">
        <v>46099</v>
      </c>
      <c r="L142" s="15">
        <v>2</v>
      </c>
      <c r="M142" s="14" t="s">
        <v>19</v>
      </c>
      <c r="N142" s="14" t="s">
        <v>157</v>
      </c>
      <c r="O142" s="20" t="s">
        <v>542</v>
      </c>
    </row>
    <row r="143" spans="1:15" ht="15.75" x14ac:dyDescent="0.25">
      <c r="A143" s="14">
        <v>142</v>
      </c>
      <c r="B143" s="15">
        <v>63001827</v>
      </c>
      <c r="C143" s="16" t="s">
        <v>179</v>
      </c>
      <c r="D143" s="16" t="s">
        <v>178</v>
      </c>
      <c r="E143" s="14" t="s">
        <v>155</v>
      </c>
      <c r="F143" s="15">
        <v>20</v>
      </c>
      <c r="G143" s="15">
        <v>670466005048</v>
      </c>
      <c r="H143" s="18">
        <v>45740</v>
      </c>
      <c r="I143" s="18">
        <v>46099</v>
      </c>
      <c r="J143" s="18">
        <v>46099</v>
      </c>
      <c r="K143" s="18">
        <v>46100</v>
      </c>
      <c r="L143" s="15">
        <v>1</v>
      </c>
      <c r="M143" s="14" t="s">
        <v>19</v>
      </c>
      <c r="N143" s="14" t="s">
        <v>157</v>
      </c>
      <c r="O143" s="20" t="s">
        <v>542</v>
      </c>
    </row>
    <row r="144" spans="1:15" ht="15.75" x14ac:dyDescent="0.25">
      <c r="A144" s="14">
        <v>143</v>
      </c>
      <c r="B144" s="15">
        <v>63001696</v>
      </c>
      <c r="C144" s="16" t="s">
        <v>216</v>
      </c>
      <c r="D144" s="16" t="s">
        <v>217</v>
      </c>
      <c r="E144" s="14" t="s">
        <v>155</v>
      </c>
      <c r="F144" s="15">
        <v>18</v>
      </c>
      <c r="G144" s="15">
        <v>941693002143</v>
      </c>
      <c r="H144" s="18">
        <v>46106</v>
      </c>
      <c r="I144" s="18">
        <v>46096</v>
      </c>
      <c r="J144" s="18">
        <v>46096</v>
      </c>
      <c r="K144" s="18">
        <v>46097</v>
      </c>
      <c r="L144" s="15">
        <v>1</v>
      </c>
      <c r="M144" s="14" t="s">
        <v>19</v>
      </c>
      <c r="N144" s="14" t="s">
        <v>157</v>
      </c>
      <c r="O144" s="20" t="s">
        <v>542</v>
      </c>
    </row>
    <row r="145" spans="1:15" ht="15.75" x14ac:dyDescent="0.25">
      <c r="A145" s="14">
        <v>144</v>
      </c>
      <c r="B145" s="15">
        <v>63001414</v>
      </c>
      <c r="C145" s="16" t="s">
        <v>239</v>
      </c>
      <c r="D145" s="16" t="s">
        <v>176</v>
      </c>
      <c r="E145" s="14" t="s">
        <v>155</v>
      </c>
      <c r="F145" s="15">
        <v>20</v>
      </c>
      <c r="G145" s="15">
        <v>891357004638</v>
      </c>
      <c r="H145" s="18">
        <v>46118</v>
      </c>
      <c r="I145" s="18">
        <v>46119</v>
      </c>
      <c r="J145" s="18">
        <v>46148</v>
      </c>
      <c r="K145" s="18">
        <v>46149</v>
      </c>
      <c r="L145" s="15">
        <v>30</v>
      </c>
      <c r="M145" s="14" t="s">
        <v>19</v>
      </c>
      <c r="N145" s="14" t="s">
        <v>157</v>
      </c>
      <c r="O145" s="20" t="s">
        <v>542</v>
      </c>
    </row>
    <row r="146" spans="1:15" ht="15.75" x14ac:dyDescent="0.25">
      <c r="A146" s="14">
        <v>145</v>
      </c>
      <c r="B146" s="15">
        <v>63001623</v>
      </c>
      <c r="C146" s="16" t="s">
        <v>200</v>
      </c>
      <c r="D146" s="16" t="s">
        <v>201</v>
      </c>
      <c r="E146" s="14" t="s">
        <v>161</v>
      </c>
      <c r="F146" s="15">
        <v>21</v>
      </c>
      <c r="G146" s="15">
        <v>921526006446</v>
      </c>
      <c r="H146" s="18">
        <v>46105</v>
      </c>
      <c r="I146" s="18">
        <v>46100</v>
      </c>
      <c r="J146" s="18">
        <v>46114</v>
      </c>
      <c r="K146" s="18">
        <v>46115</v>
      </c>
      <c r="L146" s="15">
        <v>15</v>
      </c>
      <c r="M146" s="14" t="s">
        <v>19</v>
      </c>
      <c r="N146" s="14" t="s">
        <v>157</v>
      </c>
      <c r="O146" s="20" t="s">
        <v>158</v>
      </c>
    </row>
    <row r="147" spans="1:15" ht="15.75" x14ac:dyDescent="0.25">
      <c r="A147" s="14">
        <v>146</v>
      </c>
      <c r="B147" s="15">
        <v>63001357</v>
      </c>
      <c r="C147" s="16" t="s">
        <v>285</v>
      </c>
      <c r="D147" s="16" t="s">
        <v>286</v>
      </c>
      <c r="E147" s="14" t="s">
        <v>161</v>
      </c>
      <c r="F147" s="15">
        <v>24</v>
      </c>
      <c r="G147" s="15">
        <v>850054056047</v>
      </c>
      <c r="H147" s="18">
        <v>46106</v>
      </c>
      <c r="I147" s="18">
        <v>46104</v>
      </c>
      <c r="J147" s="18">
        <v>46118</v>
      </c>
      <c r="K147" s="18">
        <v>46119</v>
      </c>
      <c r="L147" s="15">
        <v>15</v>
      </c>
      <c r="M147" s="14" t="s">
        <v>19</v>
      </c>
      <c r="N147" s="14" t="s">
        <v>157</v>
      </c>
      <c r="O147" s="20" t="s">
        <v>542</v>
      </c>
    </row>
    <row r="148" spans="1:15" ht="15.75" x14ac:dyDescent="0.25">
      <c r="A148" s="14">
        <v>147</v>
      </c>
      <c r="B148" s="15">
        <v>63001553</v>
      </c>
      <c r="C148" s="16" t="s">
        <v>302</v>
      </c>
      <c r="D148" s="16" t="s">
        <v>178</v>
      </c>
      <c r="E148" s="14" t="s">
        <v>155</v>
      </c>
      <c r="F148" s="15"/>
      <c r="G148" s="15">
        <v>890809006738</v>
      </c>
      <c r="H148" s="18">
        <v>46106</v>
      </c>
      <c r="I148" s="18">
        <v>46101</v>
      </c>
      <c r="J148" s="18">
        <v>46101</v>
      </c>
      <c r="K148" s="18">
        <v>46102</v>
      </c>
      <c r="L148" s="15">
        <v>1</v>
      </c>
      <c r="M148" s="14" t="s">
        <v>19</v>
      </c>
      <c r="N148" s="14" t="s">
        <v>157</v>
      </c>
      <c r="O148" s="20" t="s">
        <v>542</v>
      </c>
    </row>
    <row r="149" spans="1:15" ht="15.75" x14ac:dyDescent="0.25">
      <c r="A149" s="14">
        <v>148</v>
      </c>
      <c r="B149" s="15">
        <v>63001528</v>
      </c>
      <c r="C149" s="16" t="s">
        <v>303</v>
      </c>
      <c r="D149" s="16" t="s">
        <v>176</v>
      </c>
      <c r="E149" s="14" t="s">
        <v>161</v>
      </c>
      <c r="F149" s="15"/>
      <c r="G149" s="15">
        <v>931118003554</v>
      </c>
      <c r="H149" s="18">
        <v>46106</v>
      </c>
      <c r="I149" s="18">
        <v>46097</v>
      </c>
      <c r="J149" s="18">
        <v>46246</v>
      </c>
      <c r="K149" s="18">
        <v>46247</v>
      </c>
      <c r="L149" s="15">
        <v>150</v>
      </c>
      <c r="M149" s="14" t="s">
        <v>156</v>
      </c>
      <c r="N149" s="14" t="s">
        <v>157</v>
      </c>
      <c r="O149" s="20" t="s">
        <v>158</v>
      </c>
    </row>
    <row r="150" spans="1:15" ht="15.75" x14ac:dyDescent="0.25">
      <c r="A150" s="14">
        <v>149</v>
      </c>
      <c r="B150" s="15">
        <v>63001973</v>
      </c>
      <c r="C150" s="16" t="s">
        <v>304</v>
      </c>
      <c r="D150" s="16" t="s">
        <v>247</v>
      </c>
      <c r="E150" s="14" t="s">
        <v>155</v>
      </c>
      <c r="F150" s="15"/>
      <c r="G150" s="15">
        <v>862807002945</v>
      </c>
      <c r="H150" s="18">
        <v>46106</v>
      </c>
      <c r="I150" s="18">
        <v>46096</v>
      </c>
      <c r="J150" s="18">
        <v>46100</v>
      </c>
      <c r="K150" s="18">
        <v>46101</v>
      </c>
      <c r="L150" s="15">
        <v>5</v>
      </c>
      <c r="M150" s="14" t="s">
        <v>19</v>
      </c>
      <c r="N150" s="14" t="s">
        <v>157</v>
      </c>
      <c r="O150" s="20" t="s">
        <v>542</v>
      </c>
    </row>
    <row r="151" spans="1:15" ht="15.75" x14ac:dyDescent="0.25">
      <c r="A151" s="14">
        <v>150</v>
      </c>
      <c r="B151" s="15">
        <v>63001688</v>
      </c>
      <c r="C151" s="16" t="s">
        <v>305</v>
      </c>
      <c r="D151" s="16" t="s">
        <v>306</v>
      </c>
      <c r="E151" s="14" t="s">
        <v>155</v>
      </c>
      <c r="F151" s="15"/>
      <c r="G151" s="15">
        <v>853341000654</v>
      </c>
      <c r="H151" s="18">
        <v>46106</v>
      </c>
      <c r="I151" s="18">
        <v>46101</v>
      </c>
      <c r="J151" s="18">
        <v>46101</v>
      </c>
      <c r="K151" s="18">
        <v>46102</v>
      </c>
      <c r="L151" s="15">
        <v>1</v>
      </c>
      <c r="M151" s="14" t="s">
        <v>19</v>
      </c>
      <c r="N151" s="14" t="s">
        <v>157</v>
      </c>
      <c r="O151" s="20" t="s">
        <v>542</v>
      </c>
    </row>
    <row r="152" spans="1:15" ht="15.75" x14ac:dyDescent="0.25">
      <c r="A152" s="14">
        <v>151</v>
      </c>
      <c r="B152" s="15">
        <v>63001476</v>
      </c>
      <c r="C152" s="16" t="s">
        <v>307</v>
      </c>
      <c r="D152" s="16" t="s">
        <v>178</v>
      </c>
      <c r="E152" s="14" t="s">
        <v>155</v>
      </c>
      <c r="F152" s="15"/>
      <c r="G152" s="15">
        <v>870274003743</v>
      </c>
      <c r="H152" s="18">
        <v>46106</v>
      </c>
      <c r="I152" s="18">
        <v>46101</v>
      </c>
      <c r="J152" s="18">
        <v>46101</v>
      </c>
      <c r="K152" s="18">
        <v>46102</v>
      </c>
      <c r="L152" s="15">
        <v>1</v>
      </c>
      <c r="M152" s="14" t="s">
        <v>19</v>
      </c>
      <c r="N152" s="14" t="s">
        <v>157</v>
      </c>
      <c r="O152" s="20" t="s">
        <v>542</v>
      </c>
    </row>
    <row r="153" spans="1:15" ht="15.75" x14ac:dyDescent="0.25">
      <c r="A153" s="14">
        <v>152</v>
      </c>
      <c r="B153" s="15">
        <v>63001448</v>
      </c>
      <c r="C153" s="16" t="s">
        <v>308</v>
      </c>
      <c r="D153" s="16" t="s">
        <v>178</v>
      </c>
      <c r="E153" s="14" t="s">
        <v>155</v>
      </c>
      <c r="F153" s="15"/>
      <c r="G153" s="15">
        <v>891448002642</v>
      </c>
      <c r="H153" s="18">
        <v>46106</v>
      </c>
      <c r="I153" s="18">
        <v>46096</v>
      </c>
      <c r="J153" s="18">
        <v>46096</v>
      </c>
      <c r="K153" s="18">
        <v>46097</v>
      </c>
      <c r="L153" s="15">
        <v>1</v>
      </c>
      <c r="M153" s="14" t="s">
        <v>19</v>
      </c>
      <c r="N153" s="14" t="s">
        <v>157</v>
      </c>
      <c r="O153" s="20" t="s">
        <v>542</v>
      </c>
    </row>
    <row r="154" spans="1:15" ht="15.75" x14ac:dyDescent="0.25">
      <c r="A154" s="14">
        <v>153</v>
      </c>
      <c r="B154" s="15">
        <v>63001588</v>
      </c>
      <c r="C154" s="16" t="s">
        <v>261</v>
      </c>
      <c r="D154" s="16" t="s">
        <v>262</v>
      </c>
      <c r="E154" s="14" t="s">
        <v>161</v>
      </c>
      <c r="F154" s="15"/>
      <c r="G154" s="15">
        <v>900500003466</v>
      </c>
      <c r="H154" s="18">
        <v>46106</v>
      </c>
      <c r="I154" s="18">
        <v>46104</v>
      </c>
      <c r="J154" s="18">
        <v>46106</v>
      </c>
      <c r="K154" s="18">
        <v>46107</v>
      </c>
      <c r="L154" s="15">
        <v>3</v>
      </c>
      <c r="M154" s="14" t="s">
        <v>19</v>
      </c>
      <c r="N154" s="14" t="s">
        <v>157</v>
      </c>
      <c r="O154" s="20" t="s">
        <v>542</v>
      </c>
    </row>
    <row r="155" spans="1:15" ht="15.75" x14ac:dyDescent="0.25">
      <c r="A155" s="14">
        <v>154</v>
      </c>
      <c r="B155" s="15">
        <v>63043576</v>
      </c>
      <c r="C155" s="16" t="s">
        <v>288</v>
      </c>
      <c r="D155" s="16" t="s">
        <v>164</v>
      </c>
      <c r="E155" s="14" t="s">
        <v>161</v>
      </c>
      <c r="F155" s="15">
        <v>21</v>
      </c>
      <c r="G155" s="15">
        <v>21623001872</v>
      </c>
      <c r="H155" s="18">
        <v>46106</v>
      </c>
      <c r="I155" s="18">
        <v>46100</v>
      </c>
      <c r="J155" s="18">
        <v>46100</v>
      </c>
      <c r="K155" s="18">
        <v>46101</v>
      </c>
      <c r="L155" s="15">
        <v>1</v>
      </c>
      <c r="M155" s="14" t="s">
        <v>19</v>
      </c>
      <c r="N155" s="14" t="s">
        <v>157</v>
      </c>
      <c r="O155" s="20" t="s">
        <v>542</v>
      </c>
    </row>
    <row r="156" spans="1:15" ht="15.75" x14ac:dyDescent="0.25">
      <c r="A156" s="14">
        <v>155</v>
      </c>
      <c r="B156" s="15">
        <v>63001362</v>
      </c>
      <c r="C156" s="16" t="s">
        <v>235</v>
      </c>
      <c r="D156" s="16" t="s">
        <v>236</v>
      </c>
      <c r="E156" s="14" t="s">
        <v>161</v>
      </c>
      <c r="F156" s="15">
        <v>24</v>
      </c>
      <c r="G156" s="15">
        <v>850788004534</v>
      </c>
      <c r="H156" s="18">
        <v>46106</v>
      </c>
      <c r="I156" s="18">
        <v>46099</v>
      </c>
      <c r="J156" s="18">
        <v>46100</v>
      </c>
      <c r="K156" s="18">
        <v>46101</v>
      </c>
      <c r="L156" s="15">
        <v>2</v>
      </c>
      <c r="M156" s="14" t="s">
        <v>19</v>
      </c>
      <c r="N156" s="14" t="s">
        <v>157</v>
      </c>
      <c r="O156" s="20" t="s">
        <v>542</v>
      </c>
    </row>
    <row r="157" spans="1:15" ht="15.75" x14ac:dyDescent="0.25">
      <c r="A157" s="14">
        <v>156</v>
      </c>
      <c r="B157" s="15">
        <v>63001449</v>
      </c>
      <c r="C157" s="16" t="s">
        <v>309</v>
      </c>
      <c r="D157" s="16" t="s">
        <v>310</v>
      </c>
      <c r="E157" s="14" t="s">
        <v>161</v>
      </c>
      <c r="F157" s="15"/>
      <c r="G157" s="15">
        <v>881695001339</v>
      </c>
      <c r="H157" s="18">
        <v>46106</v>
      </c>
      <c r="I157" s="18">
        <v>46101</v>
      </c>
      <c r="J157" s="18">
        <v>46101</v>
      </c>
      <c r="K157" s="18">
        <v>46102</v>
      </c>
      <c r="L157" s="15">
        <v>1</v>
      </c>
      <c r="M157" s="14" t="s">
        <v>19</v>
      </c>
      <c r="N157" s="14" t="s">
        <v>157</v>
      </c>
      <c r="O157" s="20" t="s">
        <v>542</v>
      </c>
    </row>
    <row r="158" spans="1:15" ht="15.75" x14ac:dyDescent="0.25">
      <c r="A158" s="14">
        <v>157</v>
      </c>
      <c r="B158" s="15">
        <v>63001564</v>
      </c>
      <c r="C158" s="16" t="s">
        <v>232</v>
      </c>
      <c r="D158" s="16" t="s">
        <v>178</v>
      </c>
      <c r="E158" s="14" t="s">
        <v>155</v>
      </c>
      <c r="F158" s="15"/>
      <c r="G158" s="15">
        <v>899924000138</v>
      </c>
      <c r="H158" s="18">
        <v>46106</v>
      </c>
      <c r="I158" s="18">
        <v>46104</v>
      </c>
      <c r="J158" s="18">
        <v>46104</v>
      </c>
      <c r="K158" s="18">
        <v>46105</v>
      </c>
      <c r="L158" s="15">
        <v>1</v>
      </c>
      <c r="M158" s="14" t="s">
        <v>19</v>
      </c>
      <c r="N158" s="14" t="s">
        <v>157</v>
      </c>
      <c r="O158" s="20" t="s">
        <v>542</v>
      </c>
    </row>
    <row r="159" spans="1:15" ht="15.75" x14ac:dyDescent="0.25">
      <c r="A159" s="14">
        <v>158</v>
      </c>
      <c r="B159" s="15">
        <v>63043576</v>
      </c>
      <c r="C159" s="16" t="s">
        <v>288</v>
      </c>
      <c r="D159" s="16" t="s">
        <v>164</v>
      </c>
      <c r="E159" s="14" t="s">
        <v>161</v>
      </c>
      <c r="F159" s="15"/>
      <c r="G159" s="15">
        <v>21623001872</v>
      </c>
      <c r="H159" s="18">
        <v>46106</v>
      </c>
      <c r="I159" s="18">
        <v>46100</v>
      </c>
      <c r="J159" s="18">
        <v>46100</v>
      </c>
      <c r="K159" s="18">
        <v>46101</v>
      </c>
      <c r="L159" s="15">
        <v>1</v>
      </c>
      <c r="M159" s="14" t="s">
        <v>19</v>
      </c>
      <c r="N159" s="14" t="s">
        <v>157</v>
      </c>
      <c r="O159" s="20" t="s">
        <v>542</v>
      </c>
    </row>
    <row r="160" spans="1:15" ht="15.75" x14ac:dyDescent="0.25">
      <c r="A160" s="14">
        <v>159</v>
      </c>
      <c r="B160" s="15">
        <v>63001563</v>
      </c>
      <c r="C160" s="16" t="s">
        <v>311</v>
      </c>
      <c r="D160" s="16" t="s">
        <v>199</v>
      </c>
      <c r="E160" s="14" t="s">
        <v>161</v>
      </c>
      <c r="F160" s="15"/>
      <c r="G160" s="15">
        <v>920314016552</v>
      </c>
      <c r="H160" s="18">
        <v>46107</v>
      </c>
      <c r="I160" s="18">
        <v>46103</v>
      </c>
      <c r="J160" s="18">
        <v>46103</v>
      </c>
      <c r="K160" s="18">
        <v>46104</v>
      </c>
      <c r="L160" s="15">
        <v>1</v>
      </c>
      <c r="M160" s="14" t="s">
        <v>19</v>
      </c>
      <c r="N160" s="14" t="s">
        <v>157</v>
      </c>
      <c r="O160" s="20" t="s">
        <v>542</v>
      </c>
    </row>
    <row r="161" spans="1:15" ht="15.75" x14ac:dyDescent="0.25">
      <c r="A161" s="14">
        <v>160</v>
      </c>
      <c r="B161" s="15">
        <v>63010990</v>
      </c>
      <c r="C161" s="16" t="s">
        <v>255</v>
      </c>
      <c r="D161" s="16" t="s">
        <v>247</v>
      </c>
      <c r="E161" s="14" t="s">
        <v>155</v>
      </c>
      <c r="F161" s="15"/>
      <c r="G161" s="15">
        <v>22671003660</v>
      </c>
      <c r="H161" s="18">
        <v>46107</v>
      </c>
      <c r="I161" s="18">
        <v>46106</v>
      </c>
      <c r="J161" s="18">
        <v>46106</v>
      </c>
      <c r="K161" s="18">
        <v>46107</v>
      </c>
      <c r="L161" s="15">
        <v>1</v>
      </c>
      <c r="M161" s="14" t="s">
        <v>19</v>
      </c>
      <c r="N161" s="14" t="s">
        <v>157</v>
      </c>
      <c r="O161" s="20" t="s">
        <v>542</v>
      </c>
    </row>
    <row r="162" spans="1:15" ht="15.75" x14ac:dyDescent="0.25">
      <c r="A162" s="14">
        <v>161</v>
      </c>
      <c r="B162" s="15">
        <v>63036916</v>
      </c>
      <c r="C162" s="16" t="s">
        <v>312</v>
      </c>
      <c r="D162" s="16" t="s">
        <v>178</v>
      </c>
      <c r="E162" s="14" t="s">
        <v>155</v>
      </c>
      <c r="F162" s="15"/>
      <c r="G162" s="15">
        <v>971883003435</v>
      </c>
      <c r="H162" s="18">
        <v>46107</v>
      </c>
      <c r="I162" s="18">
        <v>46099</v>
      </c>
      <c r="J162" s="18">
        <v>46099</v>
      </c>
      <c r="K162" s="18">
        <v>46100</v>
      </c>
      <c r="L162" s="15">
        <v>1</v>
      </c>
      <c r="M162" s="14" t="s">
        <v>19</v>
      </c>
      <c r="N162" s="14" t="s">
        <v>157</v>
      </c>
      <c r="O162" s="20" t="s">
        <v>542</v>
      </c>
    </row>
    <row r="163" spans="1:15" ht="15.75" x14ac:dyDescent="0.25">
      <c r="A163" s="14">
        <v>162</v>
      </c>
      <c r="B163" s="15">
        <v>63001528</v>
      </c>
      <c r="C163" s="16" t="s">
        <v>303</v>
      </c>
      <c r="D163" s="16" t="s">
        <v>176</v>
      </c>
      <c r="E163" s="14" t="s">
        <v>161</v>
      </c>
      <c r="F163" s="15"/>
      <c r="G163" s="15">
        <v>931118003554</v>
      </c>
      <c r="H163" s="18">
        <v>46106</v>
      </c>
      <c r="I163" s="18">
        <v>46097</v>
      </c>
      <c r="J163" s="18">
        <v>46246</v>
      </c>
      <c r="K163" s="18">
        <v>46247</v>
      </c>
      <c r="L163" s="15">
        <v>150</v>
      </c>
      <c r="M163" s="14" t="s">
        <v>156</v>
      </c>
      <c r="N163" s="14" t="s">
        <v>157</v>
      </c>
      <c r="O163" s="20" t="s">
        <v>158</v>
      </c>
    </row>
    <row r="164" spans="1:15" ht="15.75" x14ac:dyDescent="0.25">
      <c r="A164" s="14">
        <v>163</v>
      </c>
      <c r="B164" s="15">
        <v>63001562</v>
      </c>
      <c r="C164" s="16" t="s">
        <v>279</v>
      </c>
      <c r="D164" s="16" t="s">
        <v>176</v>
      </c>
      <c r="E164" s="14" t="s">
        <v>161</v>
      </c>
      <c r="F164" s="15">
        <v>20</v>
      </c>
      <c r="G164" s="15">
        <v>926513000750</v>
      </c>
      <c r="H164" s="18">
        <v>46087</v>
      </c>
      <c r="I164" s="18">
        <v>46086</v>
      </c>
      <c r="J164" s="18">
        <v>46105</v>
      </c>
      <c r="K164" s="18">
        <v>46106</v>
      </c>
      <c r="L164" s="15">
        <v>20</v>
      </c>
      <c r="M164" s="14" t="s">
        <v>19</v>
      </c>
      <c r="N164" s="14" t="s">
        <v>165</v>
      </c>
      <c r="O164" s="20" t="s">
        <v>542</v>
      </c>
    </row>
    <row r="165" spans="1:15" ht="15.75" x14ac:dyDescent="0.25">
      <c r="A165" s="14">
        <v>164</v>
      </c>
      <c r="B165" s="15">
        <v>63001562</v>
      </c>
      <c r="C165" s="16" t="s">
        <v>279</v>
      </c>
      <c r="D165" s="16" t="s">
        <v>176</v>
      </c>
      <c r="E165" s="14" t="s">
        <v>161</v>
      </c>
      <c r="F165" s="15">
        <v>20</v>
      </c>
      <c r="G165" s="15">
        <v>926513000750</v>
      </c>
      <c r="H165" s="18">
        <v>46107</v>
      </c>
      <c r="I165" s="18">
        <v>46106</v>
      </c>
      <c r="J165" s="18">
        <v>46112</v>
      </c>
      <c r="K165" s="18">
        <v>46113</v>
      </c>
      <c r="L165" s="15">
        <v>7</v>
      </c>
      <c r="M165" s="14" t="s">
        <v>19</v>
      </c>
      <c r="N165" s="14" t="s">
        <v>165</v>
      </c>
      <c r="O165" s="20" t="s">
        <v>542</v>
      </c>
    </row>
    <row r="166" spans="1:15" ht="15.75" x14ac:dyDescent="0.25">
      <c r="A166" s="14">
        <v>165</v>
      </c>
      <c r="B166" s="15">
        <v>63001831</v>
      </c>
      <c r="C166" s="16" t="s">
        <v>313</v>
      </c>
      <c r="D166" s="16" t="s">
        <v>286</v>
      </c>
      <c r="E166" s="14" t="s">
        <v>161</v>
      </c>
      <c r="F166" s="15"/>
      <c r="G166" s="15">
        <v>810249020655</v>
      </c>
      <c r="H166" s="18">
        <v>46107</v>
      </c>
      <c r="I166" s="18">
        <v>46106</v>
      </c>
      <c r="J166" s="18">
        <v>46107</v>
      </c>
      <c r="K166" s="18">
        <v>46108</v>
      </c>
      <c r="L166" s="15">
        <v>2</v>
      </c>
      <c r="M166" s="14" t="s">
        <v>19</v>
      </c>
      <c r="N166" s="14" t="s">
        <v>157</v>
      </c>
      <c r="O166" s="20" t="s">
        <v>542</v>
      </c>
    </row>
    <row r="167" spans="1:15" ht="15.75" x14ac:dyDescent="0.25">
      <c r="A167" s="14">
        <v>166</v>
      </c>
      <c r="B167" s="15">
        <v>63030548</v>
      </c>
      <c r="C167" s="16" t="s">
        <v>208</v>
      </c>
      <c r="D167" s="16" t="s">
        <v>209</v>
      </c>
      <c r="E167" s="14" t="s">
        <v>155</v>
      </c>
      <c r="F167" s="15"/>
      <c r="G167" s="15">
        <v>951020010564</v>
      </c>
      <c r="H167" s="18">
        <v>46107</v>
      </c>
      <c r="I167" s="18">
        <v>46104</v>
      </c>
      <c r="J167" s="18">
        <v>46106</v>
      </c>
      <c r="K167" s="18">
        <v>46107</v>
      </c>
      <c r="L167" s="15">
        <v>3</v>
      </c>
      <c r="M167" s="14" t="s">
        <v>19</v>
      </c>
      <c r="N167" s="14" t="s">
        <v>157</v>
      </c>
      <c r="O167" s="20" t="s">
        <v>542</v>
      </c>
    </row>
    <row r="168" spans="1:15" ht="15.75" x14ac:dyDescent="0.25">
      <c r="A168" s="14">
        <v>167</v>
      </c>
      <c r="B168" s="15">
        <v>63001642</v>
      </c>
      <c r="C168" s="16" t="s">
        <v>314</v>
      </c>
      <c r="D168" s="16" t="s">
        <v>315</v>
      </c>
      <c r="E168" s="14" t="s">
        <v>155</v>
      </c>
      <c r="F168" s="15"/>
      <c r="G168" s="15">
        <v>920835008539</v>
      </c>
      <c r="H168" s="18">
        <v>46107</v>
      </c>
      <c r="I168" s="18">
        <v>46104</v>
      </c>
      <c r="J168" s="18">
        <v>46107</v>
      </c>
      <c r="K168" s="18">
        <v>46108</v>
      </c>
      <c r="L168" s="15">
        <v>4</v>
      </c>
      <c r="M168" s="14" t="s">
        <v>19</v>
      </c>
      <c r="N168" s="14" t="s">
        <v>157</v>
      </c>
      <c r="O168" s="20" t="s">
        <v>542</v>
      </c>
    </row>
    <row r="169" spans="1:15" ht="15.75" x14ac:dyDescent="0.25">
      <c r="A169" s="14">
        <v>168</v>
      </c>
      <c r="B169" s="15">
        <v>63010875</v>
      </c>
      <c r="C169" s="16" t="s">
        <v>258</v>
      </c>
      <c r="D169" s="16" t="s">
        <v>176</v>
      </c>
      <c r="E169" s="14" t="s">
        <v>155</v>
      </c>
      <c r="F169" s="15">
        <v>20</v>
      </c>
      <c r="G169" s="15">
        <v>910034047646</v>
      </c>
      <c r="H169" s="18">
        <v>46107</v>
      </c>
      <c r="I169" s="18">
        <v>46104</v>
      </c>
      <c r="J169" s="18">
        <v>46106</v>
      </c>
      <c r="K169" s="18">
        <v>46107</v>
      </c>
      <c r="L169" s="15">
        <v>3</v>
      </c>
      <c r="M169" s="14" t="s">
        <v>19</v>
      </c>
      <c r="N169" s="14" t="s">
        <v>157</v>
      </c>
      <c r="O169" s="20" t="s">
        <v>542</v>
      </c>
    </row>
    <row r="170" spans="1:15" ht="15.75" x14ac:dyDescent="0.25">
      <c r="A170" s="14">
        <v>169</v>
      </c>
      <c r="B170" s="15">
        <v>63001779</v>
      </c>
      <c r="C170" s="16" t="s">
        <v>316</v>
      </c>
      <c r="D170" s="16" t="s">
        <v>298</v>
      </c>
      <c r="E170" s="14" t="s">
        <v>161</v>
      </c>
      <c r="F170" s="15"/>
      <c r="G170" s="15">
        <v>944583002041</v>
      </c>
      <c r="H170" s="18">
        <v>46110</v>
      </c>
      <c r="I170" s="18">
        <v>46099</v>
      </c>
      <c r="J170" s="18">
        <v>46100</v>
      </c>
      <c r="K170" s="18">
        <v>45895</v>
      </c>
      <c r="L170" s="15">
        <v>2</v>
      </c>
      <c r="M170" s="14" t="s">
        <v>19</v>
      </c>
      <c r="N170" s="14" t="s">
        <v>157</v>
      </c>
      <c r="O170" s="20" t="s">
        <v>542</v>
      </c>
    </row>
    <row r="171" spans="1:15" ht="15.75" x14ac:dyDescent="0.25">
      <c r="A171" s="14">
        <v>170</v>
      </c>
      <c r="B171" s="15">
        <v>63001719</v>
      </c>
      <c r="C171" s="16" t="s">
        <v>163</v>
      </c>
      <c r="D171" s="16" t="s">
        <v>164</v>
      </c>
      <c r="E171" s="14" t="s">
        <v>161</v>
      </c>
      <c r="F171" s="15">
        <v>22</v>
      </c>
      <c r="G171" s="15">
        <v>922129005348</v>
      </c>
      <c r="H171" s="18">
        <v>46110</v>
      </c>
      <c r="I171" s="18">
        <v>46107</v>
      </c>
      <c r="J171" s="18">
        <v>46136</v>
      </c>
      <c r="K171" s="18">
        <v>46137</v>
      </c>
      <c r="L171" s="15">
        <v>30</v>
      </c>
      <c r="M171" s="14" t="s">
        <v>19</v>
      </c>
      <c r="N171" s="14" t="s">
        <v>165</v>
      </c>
      <c r="O171" s="20" t="s">
        <v>158</v>
      </c>
    </row>
    <row r="172" spans="1:15" ht="15.75" x14ac:dyDescent="0.25">
      <c r="A172" s="14">
        <v>171</v>
      </c>
      <c r="B172" s="15">
        <v>63030548</v>
      </c>
      <c r="C172" s="16" t="s">
        <v>208</v>
      </c>
      <c r="D172" s="16" t="s">
        <v>209</v>
      </c>
      <c r="E172" s="14" t="s">
        <v>155</v>
      </c>
      <c r="F172" s="15"/>
      <c r="G172" s="15">
        <v>951020010564</v>
      </c>
      <c r="H172" s="18">
        <v>46110</v>
      </c>
      <c r="I172" s="18">
        <v>46107</v>
      </c>
      <c r="J172" s="18">
        <v>46107</v>
      </c>
      <c r="K172" s="18">
        <v>46108</v>
      </c>
      <c r="L172" s="15">
        <v>1</v>
      </c>
      <c r="M172" s="14" t="s">
        <v>19</v>
      </c>
      <c r="N172" s="14" t="s">
        <v>157</v>
      </c>
      <c r="O172" s="20" t="s">
        <v>542</v>
      </c>
    </row>
    <row r="173" spans="1:15" ht="15.75" x14ac:dyDescent="0.25">
      <c r="A173" s="14">
        <v>172</v>
      </c>
      <c r="B173" s="15">
        <v>63001539</v>
      </c>
      <c r="C173" s="16" t="s">
        <v>317</v>
      </c>
      <c r="D173" s="16" t="s">
        <v>194</v>
      </c>
      <c r="E173" s="14" t="s">
        <v>161</v>
      </c>
      <c r="F173" s="15"/>
      <c r="G173" s="15">
        <v>909792000234</v>
      </c>
      <c r="H173" s="18">
        <v>46110</v>
      </c>
      <c r="I173" s="18">
        <v>46110</v>
      </c>
      <c r="J173" s="18">
        <v>46111</v>
      </c>
      <c r="K173" s="18">
        <v>46112</v>
      </c>
      <c r="L173" s="15">
        <v>2</v>
      </c>
      <c r="M173" s="14" t="s">
        <v>19</v>
      </c>
      <c r="N173" s="14" t="s">
        <v>157</v>
      </c>
      <c r="O173" s="20" t="s">
        <v>542</v>
      </c>
    </row>
    <row r="174" spans="1:15" ht="15.75" x14ac:dyDescent="0.25">
      <c r="A174" s="14">
        <v>173</v>
      </c>
      <c r="B174" s="15">
        <v>63001337</v>
      </c>
      <c r="C174" s="16" t="s">
        <v>188</v>
      </c>
      <c r="D174" s="16" t="s">
        <v>189</v>
      </c>
      <c r="E174" s="14" t="s">
        <v>161</v>
      </c>
      <c r="F174" s="15">
        <v>22</v>
      </c>
      <c r="G174" s="15">
        <v>890042008543</v>
      </c>
      <c r="H174" s="18">
        <v>46110</v>
      </c>
      <c r="I174" s="18">
        <v>46110</v>
      </c>
      <c r="J174" s="18">
        <v>46133</v>
      </c>
      <c r="K174" s="18">
        <v>46134</v>
      </c>
      <c r="L174" s="15">
        <v>24</v>
      </c>
      <c r="M174" s="14" t="s">
        <v>19</v>
      </c>
      <c r="N174" s="14" t="s">
        <v>165</v>
      </c>
      <c r="O174" s="20" t="s">
        <v>542</v>
      </c>
    </row>
    <row r="175" spans="1:15" ht="15.75" x14ac:dyDescent="0.25">
      <c r="A175" s="14">
        <v>174</v>
      </c>
      <c r="B175" s="15">
        <v>63001649</v>
      </c>
      <c r="C175" s="16" t="s">
        <v>318</v>
      </c>
      <c r="D175" s="16" t="s">
        <v>319</v>
      </c>
      <c r="E175" s="14" t="s">
        <v>161</v>
      </c>
      <c r="F175" s="15"/>
      <c r="G175" s="15">
        <v>920930007347</v>
      </c>
      <c r="H175" s="18">
        <v>46107</v>
      </c>
      <c r="I175" s="18">
        <v>46097</v>
      </c>
      <c r="J175" s="18">
        <v>46330</v>
      </c>
      <c r="K175" s="18">
        <v>46331</v>
      </c>
      <c r="L175" s="15">
        <v>20</v>
      </c>
      <c r="M175" s="14" t="s">
        <v>19</v>
      </c>
      <c r="N175" s="14" t="s">
        <v>157</v>
      </c>
      <c r="O175" s="20" t="s">
        <v>542</v>
      </c>
    </row>
    <row r="176" spans="1:15" ht="15.75" x14ac:dyDescent="0.25">
      <c r="A176" s="14">
        <v>175</v>
      </c>
      <c r="B176" s="15">
        <v>63001827</v>
      </c>
      <c r="C176" s="16" t="s">
        <v>179</v>
      </c>
      <c r="D176" s="16" t="s">
        <v>178</v>
      </c>
      <c r="E176" s="14" t="s">
        <v>155</v>
      </c>
      <c r="F176" s="15">
        <v>20</v>
      </c>
      <c r="G176" s="15">
        <v>670466005048</v>
      </c>
      <c r="H176" s="18">
        <v>46111</v>
      </c>
      <c r="I176" s="18">
        <v>46105</v>
      </c>
      <c r="J176" s="18">
        <v>46105</v>
      </c>
      <c r="K176" s="18">
        <v>46106</v>
      </c>
      <c r="L176" s="15">
        <v>1</v>
      </c>
      <c r="M176" s="14" t="s">
        <v>19</v>
      </c>
      <c r="N176" s="14" t="s">
        <v>157</v>
      </c>
      <c r="O176" s="20" t="s">
        <v>542</v>
      </c>
    </row>
    <row r="177" spans="1:15" ht="15.75" x14ac:dyDescent="0.25">
      <c r="A177" s="14">
        <v>176</v>
      </c>
      <c r="B177" s="15">
        <v>63001827</v>
      </c>
      <c r="C177" s="16" t="s">
        <v>179</v>
      </c>
      <c r="D177" s="16" t="s">
        <v>178</v>
      </c>
      <c r="E177" s="14" t="s">
        <v>155</v>
      </c>
      <c r="F177" s="15">
        <v>20</v>
      </c>
      <c r="G177" s="15">
        <v>670466005048</v>
      </c>
      <c r="H177" s="18">
        <v>46111</v>
      </c>
      <c r="I177" s="18">
        <v>46106</v>
      </c>
      <c r="J177" s="18">
        <v>46106</v>
      </c>
      <c r="K177" s="18">
        <v>46107</v>
      </c>
      <c r="L177" s="15">
        <v>1</v>
      </c>
      <c r="M177" s="14" t="s">
        <v>19</v>
      </c>
      <c r="N177" s="14" t="s">
        <v>157</v>
      </c>
      <c r="O177" s="20" t="s">
        <v>542</v>
      </c>
    </row>
    <row r="178" spans="1:15" ht="15.75" x14ac:dyDescent="0.25">
      <c r="A178" s="14">
        <v>177</v>
      </c>
      <c r="B178" s="15">
        <v>63001462</v>
      </c>
      <c r="C178" s="16" t="s">
        <v>320</v>
      </c>
      <c r="D178" s="16" t="s">
        <v>247</v>
      </c>
      <c r="E178" s="14" t="s">
        <v>155</v>
      </c>
      <c r="F178" s="15"/>
      <c r="G178" s="15">
        <v>796958000235</v>
      </c>
      <c r="H178" s="18">
        <v>46111</v>
      </c>
      <c r="I178" s="18">
        <v>46111</v>
      </c>
      <c r="J178" s="18">
        <v>46113</v>
      </c>
      <c r="K178" s="18">
        <v>46114</v>
      </c>
      <c r="L178" s="15">
        <v>3</v>
      </c>
      <c r="M178" s="14" t="s">
        <v>19</v>
      </c>
      <c r="N178" s="14" t="s">
        <v>157</v>
      </c>
      <c r="O178" s="20" t="s">
        <v>158</v>
      </c>
    </row>
    <row r="179" spans="1:15" ht="15.75" x14ac:dyDescent="0.25">
      <c r="A179" s="14">
        <v>178</v>
      </c>
      <c r="B179" s="15">
        <v>63001804</v>
      </c>
      <c r="C179" s="16" t="s">
        <v>321</v>
      </c>
      <c r="D179" s="16" t="s">
        <v>176</v>
      </c>
      <c r="E179" s="14" t="s">
        <v>155</v>
      </c>
      <c r="F179" s="15"/>
      <c r="G179" s="15">
        <v>965484000635</v>
      </c>
      <c r="H179" s="18">
        <v>46111</v>
      </c>
      <c r="I179" s="18">
        <v>46109</v>
      </c>
      <c r="J179" s="18">
        <v>46109</v>
      </c>
      <c r="K179" s="18">
        <v>46110</v>
      </c>
      <c r="L179" s="15">
        <v>1</v>
      </c>
      <c r="M179" s="14" t="s">
        <v>19</v>
      </c>
      <c r="N179" s="14" t="s">
        <v>157</v>
      </c>
      <c r="O179" s="20" t="s">
        <v>542</v>
      </c>
    </row>
    <row r="180" spans="1:15" ht="15.75" x14ac:dyDescent="0.25">
      <c r="A180" s="14">
        <v>179</v>
      </c>
      <c r="B180" s="15">
        <v>63001716</v>
      </c>
      <c r="C180" s="16" t="s">
        <v>253</v>
      </c>
      <c r="D180" s="16" t="s">
        <v>254</v>
      </c>
      <c r="E180" s="14" t="s">
        <v>155</v>
      </c>
      <c r="F180" s="15">
        <v>18</v>
      </c>
      <c r="G180" s="15">
        <v>953136001550</v>
      </c>
      <c r="H180" s="18">
        <v>46111</v>
      </c>
      <c r="I180" s="18">
        <v>46110</v>
      </c>
      <c r="J180" s="18">
        <v>46110</v>
      </c>
      <c r="K180" s="18">
        <v>46111</v>
      </c>
      <c r="L180" s="15">
        <v>1</v>
      </c>
      <c r="M180" s="14" t="s">
        <v>19</v>
      </c>
      <c r="N180" s="14" t="s">
        <v>157</v>
      </c>
      <c r="O180" s="20" t="s">
        <v>542</v>
      </c>
    </row>
    <row r="181" spans="1:15" ht="15.75" x14ac:dyDescent="0.25">
      <c r="A181" s="14">
        <v>180</v>
      </c>
      <c r="B181" s="15">
        <v>63001459</v>
      </c>
      <c r="C181" s="16" t="s">
        <v>202</v>
      </c>
      <c r="D181" s="16" t="s">
        <v>203</v>
      </c>
      <c r="E181" s="14" t="s">
        <v>155</v>
      </c>
      <c r="F181" s="15">
        <v>20</v>
      </c>
      <c r="G181" s="15">
        <v>910027029049</v>
      </c>
      <c r="H181" s="18">
        <v>46111</v>
      </c>
      <c r="I181" s="18">
        <v>46110</v>
      </c>
      <c r="J181" s="18">
        <v>46110</v>
      </c>
      <c r="K181" s="18">
        <v>46111</v>
      </c>
      <c r="L181" s="15">
        <v>1</v>
      </c>
      <c r="M181" s="14" t="s">
        <v>19</v>
      </c>
      <c r="N181" s="14" t="s">
        <v>157</v>
      </c>
      <c r="O181" s="20" t="s">
        <v>542</v>
      </c>
    </row>
    <row r="182" spans="1:15" ht="15.75" x14ac:dyDescent="0.25">
      <c r="A182" s="14">
        <v>181</v>
      </c>
      <c r="B182" s="15">
        <v>63001595</v>
      </c>
      <c r="C182" s="16" t="s">
        <v>322</v>
      </c>
      <c r="D182" s="16" t="s">
        <v>164</v>
      </c>
      <c r="E182" s="14" t="s">
        <v>161</v>
      </c>
      <c r="F182" s="15"/>
      <c r="G182" s="15">
        <v>907576000141</v>
      </c>
      <c r="H182" s="18">
        <v>46111</v>
      </c>
      <c r="I182" s="18">
        <v>46110</v>
      </c>
      <c r="J182" s="18">
        <v>46199</v>
      </c>
      <c r="K182" s="18">
        <v>46200</v>
      </c>
      <c r="L182" s="15">
        <v>90</v>
      </c>
      <c r="M182" s="14" t="s">
        <v>19</v>
      </c>
      <c r="N182" s="14" t="s">
        <v>157</v>
      </c>
      <c r="O182" s="20" t="s">
        <v>158</v>
      </c>
    </row>
    <row r="183" spans="1:15" ht="15.75" x14ac:dyDescent="0.25">
      <c r="A183" s="14">
        <v>182</v>
      </c>
      <c r="B183" s="15">
        <v>63001940</v>
      </c>
      <c r="C183" s="16" t="s">
        <v>211</v>
      </c>
      <c r="D183" s="16" t="s">
        <v>185</v>
      </c>
      <c r="E183" s="14" t="s">
        <v>155</v>
      </c>
      <c r="F183" s="15">
        <v>21</v>
      </c>
      <c r="G183" s="15">
        <v>800625010760</v>
      </c>
      <c r="H183" s="18">
        <v>46111</v>
      </c>
      <c r="I183" s="18">
        <v>46111</v>
      </c>
      <c r="J183" s="18">
        <v>46140</v>
      </c>
      <c r="K183" s="18">
        <v>46141</v>
      </c>
      <c r="L183" s="15">
        <v>30</v>
      </c>
      <c r="M183" s="14" t="s">
        <v>19</v>
      </c>
      <c r="N183" s="14" t="s">
        <v>157</v>
      </c>
      <c r="O183" s="20" t="s">
        <v>542</v>
      </c>
    </row>
    <row r="184" spans="1:15" ht="15.75" x14ac:dyDescent="0.25">
      <c r="A184" s="14">
        <v>183</v>
      </c>
      <c r="B184" s="15">
        <v>63001788</v>
      </c>
      <c r="C184" s="16" t="s">
        <v>276</v>
      </c>
      <c r="D184" s="16" t="s">
        <v>277</v>
      </c>
      <c r="E184" s="14" t="s">
        <v>155</v>
      </c>
      <c r="F184" s="15">
        <v>18</v>
      </c>
      <c r="G184" s="15">
        <v>872863000445</v>
      </c>
      <c r="H184" s="18">
        <v>46111</v>
      </c>
      <c r="I184" s="18">
        <v>46110</v>
      </c>
      <c r="J184" s="18">
        <v>46110</v>
      </c>
      <c r="K184" s="18">
        <v>46111</v>
      </c>
      <c r="L184" s="15">
        <v>1</v>
      </c>
      <c r="M184" s="14" t="s">
        <v>19</v>
      </c>
      <c r="N184" s="14" t="s">
        <v>157</v>
      </c>
      <c r="O184" s="20" t="s">
        <v>542</v>
      </c>
    </row>
    <row r="185" spans="1:15" ht="15.75" x14ac:dyDescent="0.25">
      <c r="A185" s="14">
        <v>184</v>
      </c>
      <c r="B185" s="15">
        <v>63001362</v>
      </c>
      <c r="C185" s="16" t="s">
        <v>235</v>
      </c>
      <c r="D185" s="16" t="s">
        <v>236</v>
      </c>
      <c r="E185" s="14" t="s">
        <v>161</v>
      </c>
      <c r="F185" s="15">
        <v>24</v>
      </c>
      <c r="G185" s="15">
        <v>850788004534</v>
      </c>
      <c r="H185" s="18">
        <v>46113</v>
      </c>
      <c r="I185" s="18">
        <v>46112</v>
      </c>
      <c r="J185" s="18">
        <v>46112</v>
      </c>
      <c r="K185" s="18">
        <v>46113</v>
      </c>
      <c r="L185" s="15">
        <v>1</v>
      </c>
      <c r="M185" s="14" t="s">
        <v>19</v>
      </c>
      <c r="N185" s="14" t="s">
        <v>157</v>
      </c>
      <c r="O185" s="20" t="s">
        <v>542</v>
      </c>
    </row>
    <row r="186" spans="1:15" ht="15.75" x14ac:dyDescent="0.25">
      <c r="A186" s="14">
        <v>185</v>
      </c>
      <c r="B186" s="15">
        <v>63001698</v>
      </c>
      <c r="C186" s="16" t="s">
        <v>182</v>
      </c>
      <c r="D186" s="16" t="s">
        <v>183</v>
      </c>
      <c r="E186" s="14" t="s">
        <v>161</v>
      </c>
      <c r="F186" s="15">
        <v>22</v>
      </c>
      <c r="G186" s="15">
        <v>910461009738</v>
      </c>
      <c r="H186" s="18">
        <v>46113</v>
      </c>
      <c r="I186" s="18">
        <v>46110</v>
      </c>
      <c r="J186" s="18">
        <v>46110</v>
      </c>
      <c r="K186" s="18">
        <v>46111</v>
      </c>
      <c r="L186" s="15">
        <v>1</v>
      </c>
      <c r="M186" s="14" t="s">
        <v>19</v>
      </c>
      <c r="N186" s="14" t="s">
        <v>157</v>
      </c>
      <c r="O186" s="20" t="s">
        <v>542</v>
      </c>
    </row>
    <row r="187" spans="1:15" ht="15.75" x14ac:dyDescent="0.25">
      <c r="A187" s="14">
        <v>186</v>
      </c>
      <c r="B187" s="15">
        <v>63001482</v>
      </c>
      <c r="C187" s="16" t="s">
        <v>323</v>
      </c>
      <c r="D187" s="16" t="s">
        <v>247</v>
      </c>
      <c r="E187" s="14" t="s">
        <v>155</v>
      </c>
      <c r="F187" s="15"/>
      <c r="G187" s="15">
        <v>800127022362</v>
      </c>
      <c r="H187" s="18">
        <v>46113</v>
      </c>
      <c r="I187" s="18">
        <v>46112</v>
      </c>
      <c r="J187" s="18">
        <v>46112</v>
      </c>
      <c r="K187" s="18">
        <v>46113</v>
      </c>
      <c r="L187" s="15">
        <v>1</v>
      </c>
      <c r="M187" s="14" t="s">
        <v>19</v>
      </c>
      <c r="N187" s="14" t="s">
        <v>157</v>
      </c>
      <c r="O187" s="20" t="s">
        <v>542</v>
      </c>
    </row>
    <row r="188" spans="1:15" ht="15.75" x14ac:dyDescent="0.25">
      <c r="A188" s="14">
        <v>187</v>
      </c>
      <c r="B188" s="15">
        <v>63001788</v>
      </c>
      <c r="C188" s="16" t="s">
        <v>276</v>
      </c>
      <c r="D188" s="16" t="s">
        <v>277</v>
      </c>
      <c r="E188" s="14" t="s">
        <v>155</v>
      </c>
      <c r="F188" s="15">
        <v>18</v>
      </c>
      <c r="G188" s="15">
        <v>872863000445</v>
      </c>
      <c r="H188" s="18">
        <v>46113</v>
      </c>
      <c r="I188" s="18">
        <v>46112</v>
      </c>
      <c r="J188" s="18">
        <v>46141</v>
      </c>
      <c r="K188" s="18">
        <v>46142</v>
      </c>
      <c r="L188" s="15">
        <v>30</v>
      </c>
      <c r="M188" s="14" t="s">
        <v>19</v>
      </c>
      <c r="N188" s="14" t="s">
        <v>157</v>
      </c>
      <c r="O188" s="20" t="s">
        <v>158</v>
      </c>
    </row>
    <row r="189" spans="1:15" ht="15.75" x14ac:dyDescent="0.25">
      <c r="A189" s="14">
        <v>188</v>
      </c>
      <c r="B189" s="15">
        <v>63001414</v>
      </c>
      <c r="C189" s="16" t="s">
        <v>239</v>
      </c>
      <c r="D189" s="16" t="s">
        <v>176</v>
      </c>
      <c r="E189" s="14" t="s">
        <v>155</v>
      </c>
      <c r="F189" s="15">
        <v>20</v>
      </c>
      <c r="G189" s="15">
        <v>891357004638</v>
      </c>
      <c r="H189" s="18">
        <v>46149</v>
      </c>
      <c r="I189" s="18">
        <v>46149</v>
      </c>
      <c r="J189" s="18">
        <v>46178</v>
      </c>
      <c r="K189" s="18">
        <v>46179</v>
      </c>
      <c r="L189" s="15">
        <v>30</v>
      </c>
      <c r="M189" s="14" t="s">
        <v>19</v>
      </c>
      <c r="N189" s="14" t="s">
        <v>157</v>
      </c>
      <c r="O189" s="20" t="s">
        <v>542</v>
      </c>
    </row>
    <row r="190" spans="1:15" ht="15.75" x14ac:dyDescent="0.25">
      <c r="A190" s="14">
        <v>189</v>
      </c>
      <c r="B190" s="15">
        <v>63001341</v>
      </c>
      <c r="C190" s="16" t="s">
        <v>324</v>
      </c>
      <c r="D190" s="16" t="s">
        <v>199</v>
      </c>
      <c r="E190" s="14" t="s">
        <v>161</v>
      </c>
      <c r="F190" s="15"/>
      <c r="G190" s="15">
        <v>880958009624</v>
      </c>
      <c r="H190" s="18">
        <v>46113</v>
      </c>
      <c r="I190" s="18">
        <v>46110</v>
      </c>
      <c r="J190" s="18">
        <v>46114</v>
      </c>
      <c r="K190" s="18">
        <v>46115</v>
      </c>
      <c r="L190" s="15">
        <v>5</v>
      </c>
      <c r="M190" s="14" t="s">
        <v>19</v>
      </c>
      <c r="N190" s="14" t="s">
        <v>157</v>
      </c>
      <c r="O190" s="20" t="s">
        <v>542</v>
      </c>
    </row>
    <row r="191" spans="1:15" ht="15.75" x14ac:dyDescent="0.25">
      <c r="A191" s="14">
        <v>190</v>
      </c>
      <c r="B191" s="15">
        <v>63001698</v>
      </c>
      <c r="C191" s="16" t="s">
        <v>182</v>
      </c>
      <c r="D191" s="16" t="s">
        <v>183</v>
      </c>
      <c r="E191" s="14" t="s">
        <v>161</v>
      </c>
      <c r="F191" s="15">
        <v>22</v>
      </c>
      <c r="G191" s="15">
        <v>910461009738</v>
      </c>
      <c r="H191" s="18">
        <v>46113</v>
      </c>
      <c r="I191" s="18">
        <v>46113</v>
      </c>
      <c r="J191" s="18">
        <v>46114</v>
      </c>
      <c r="K191" s="18">
        <v>46115</v>
      </c>
      <c r="L191" s="15">
        <v>2</v>
      </c>
      <c r="M191" s="14" t="s">
        <v>19</v>
      </c>
      <c r="N191" s="14" t="s">
        <v>157</v>
      </c>
      <c r="O191" s="20" t="s">
        <v>542</v>
      </c>
    </row>
    <row r="192" spans="1:15" ht="15.75" x14ac:dyDescent="0.25">
      <c r="A192" s="14">
        <v>191</v>
      </c>
      <c r="B192" s="15">
        <v>63001562</v>
      </c>
      <c r="C192" s="16" t="s">
        <v>279</v>
      </c>
      <c r="D192" s="16" t="s">
        <v>176</v>
      </c>
      <c r="E192" s="14" t="s">
        <v>161</v>
      </c>
      <c r="F192" s="15">
        <v>20</v>
      </c>
      <c r="G192" s="15">
        <v>926513000750</v>
      </c>
      <c r="H192" s="18">
        <v>46117</v>
      </c>
      <c r="I192" s="18">
        <v>46113</v>
      </c>
      <c r="J192" s="18">
        <v>46121</v>
      </c>
      <c r="K192" s="18">
        <v>46122</v>
      </c>
      <c r="L192" s="15">
        <v>9</v>
      </c>
      <c r="M192" s="14" t="s">
        <v>19</v>
      </c>
      <c r="N192" s="14" t="s">
        <v>157</v>
      </c>
      <c r="O192" s="20" t="s">
        <v>542</v>
      </c>
    </row>
    <row r="193" spans="1:15" ht="15.75" x14ac:dyDescent="0.25">
      <c r="A193" s="14">
        <v>192</v>
      </c>
      <c r="B193" s="15">
        <v>63001827</v>
      </c>
      <c r="C193" s="16" t="s">
        <v>179</v>
      </c>
      <c r="D193" s="16" t="s">
        <v>178</v>
      </c>
      <c r="E193" s="14" t="s">
        <v>155</v>
      </c>
      <c r="F193" s="15">
        <v>20</v>
      </c>
      <c r="G193" s="15">
        <v>670466005048</v>
      </c>
      <c r="H193" s="18">
        <v>46117</v>
      </c>
      <c r="I193" s="18">
        <v>46113</v>
      </c>
      <c r="J193" s="18">
        <v>46113</v>
      </c>
      <c r="K193" s="18">
        <v>46114</v>
      </c>
      <c r="L193" s="15">
        <v>1</v>
      </c>
      <c r="M193" s="14" t="s">
        <v>19</v>
      </c>
      <c r="N193" s="14" t="s">
        <v>157</v>
      </c>
      <c r="O193" s="20" t="s">
        <v>542</v>
      </c>
    </row>
    <row r="194" spans="1:15" ht="15.75" x14ac:dyDescent="0.25">
      <c r="A194" s="14">
        <v>193</v>
      </c>
      <c r="B194" s="15">
        <v>63001827</v>
      </c>
      <c r="C194" s="16" t="s">
        <v>179</v>
      </c>
      <c r="D194" s="16" t="s">
        <v>178</v>
      </c>
      <c r="E194" s="14" t="s">
        <v>155</v>
      </c>
      <c r="F194" s="15">
        <v>20</v>
      </c>
      <c r="G194" s="15">
        <v>670466005048</v>
      </c>
      <c r="H194" s="18">
        <v>46118</v>
      </c>
      <c r="I194" s="18">
        <v>46114</v>
      </c>
      <c r="J194" s="18">
        <v>46114</v>
      </c>
      <c r="K194" s="18">
        <v>46115</v>
      </c>
      <c r="L194" s="15">
        <v>1</v>
      </c>
      <c r="M194" s="14" t="s">
        <v>19</v>
      </c>
      <c r="N194" s="14" t="s">
        <v>157</v>
      </c>
      <c r="O194" s="20" t="s">
        <v>542</v>
      </c>
    </row>
    <row r="195" spans="1:15" ht="15.75" x14ac:dyDescent="0.25">
      <c r="A195" s="14">
        <v>194</v>
      </c>
      <c r="B195" s="15">
        <v>63001688</v>
      </c>
      <c r="C195" s="16" t="s">
        <v>305</v>
      </c>
      <c r="D195" s="16" t="s">
        <v>306</v>
      </c>
      <c r="E195" s="14" t="s">
        <v>155</v>
      </c>
      <c r="F195" s="15"/>
      <c r="G195" s="15">
        <v>853341000654</v>
      </c>
      <c r="H195" s="18">
        <v>46118</v>
      </c>
      <c r="I195" s="18">
        <v>46118</v>
      </c>
      <c r="J195" s="18">
        <v>46118</v>
      </c>
      <c r="K195" s="18">
        <v>46119</v>
      </c>
      <c r="L195" s="15">
        <v>1</v>
      </c>
      <c r="M195" s="14" t="s">
        <v>19</v>
      </c>
      <c r="N195" s="14" t="s">
        <v>157</v>
      </c>
      <c r="O195" s="20" t="s">
        <v>542</v>
      </c>
    </row>
    <row r="196" spans="1:15" ht="15.75" x14ac:dyDescent="0.25">
      <c r="A196" s="14">
        <v>195</v>
      </c>
      <c r="B196" s="15">
        <v>63001688</v>
      </c>
      <c r="C196" s="16" t="s">
        <v>305</v>
      </c>
      <c r="D196" s="16" t="s">
        <v>306</v>
      </c>
      <c r="E196" s="14" t="s">
        <v>155</v>
      </c>
      <c r="F196" s="15"/>
      <c r="G196" s="15">
        <v>853341000654</v>
      </c>
      <c r="H196" s="18">
        <v>46118</v>
      </c>
      <c r="I196" s="18">
        <v>46117</v>
      </c>
      <c r="J196" s="18">
        <v>46117</v>
      </c>
      <c r="K196" s="18">
        <v>46118</v>
      </c>
      <c r="L196" s="15">
        <v>1</v>
      </c>
      <c r="M196" s="14" t="s">
        <v>19</v>
      </c>
      <c r="N196" s="14" t="s">
        <v>157</v>
      </c>
      <c r="O196" s="20" t="s">
        <v>542</v>
      </c>
    </row>
    <row r="197" spans="1:15" ht="15.75" x14ac:dyDescent="0.25">
      <c r="A197" s="14">
        <v>196</v>
      </c>
      <c r="B197" s="15">
        <v>63001351</v>
      </c>
      <c r="C197" s="16" t="s">
        <v>222</v>
      </c>
      <c r="D197" s="16" t="s">
        <v>223</v>
      </c>
      <c r="E197" s="14" t="s">
        <v>155</v>
      </c>
      <c r="F197" s="15"/>
      <c r="G197" s="15">
        <v>930119003357</v>
      </c>
      <c r="H197" s="18">
        <v>46118</v>
      </c>
      <c r="I197" s="18">
        <v>46117</v>
      </c>
      <c r="J197" s="18">
        <v>46119</v>
      </c>
      <c r="K197" s="18">
        <v>46120</v>
      </c>
      <c r="L197" s="15">
        <v>3</v>
      </c>
      <c r="M197" s="14" t="s">
        <v>19</v>
      </c>
      <c r="N197" s="14" t="s">
        <v>157</v>
      </c>
      <c r="O197" s="20" t="s">
        <v>542</v>
      </c>
    </row>
    <row r="198" spans="1:15" ht="15.75" x14ac:dyDescent="0.25">
      <c r="A198" s="14">
        <v>197</v>
      </c>
      <c r="B198" s="15">
        <v>63001414</v>
      </c>
      <c r="C198" s="16" t="s">
        <v>239</v>
      </c>
      <c r="D198" s="16" t="s">
        <v>176</v>
      </c>
      <c r="E198" s="14" t="s">
        <v>155</v>
      </c>
      <c r="F198" s="15">
        <v>20</v>
      </c>
      <c r="G198" s="15">
        <v>891357004638</v>
      </c>
      <c r="H198" s="18">
        <v>46182</v>
      </c>
      <c r="I198" s="18">
        <v>46179</v>
      </c>
      <c r="J198" s="18">
        <v>46208</v>
      </c>
      <c r="K198" s="18">
        <v>46209</v>
      </c>
      <c r="L198" s="15">
        <v>30</v>
      </c>
      <c r="M198" s="14" t="s">
        <v>19</v>
      </c>
      <c r="N198" s="14" t="s">
        <v>157</v>
      </c>
      <c r="O198" s="20" t="s">
        <v>542</v>
      </c>
    </row>
    <row r="199" spans="1:15" ht="15.75" x14ac:dyDescent="0.25">
      <c r="A199" s="14">
        <v>198</v>
      </c>
      <c r="B199" s="15">
        <v>63001696</v>
      </c>
      <c r="C199" s="16" t="s">
        <v>216</v>
      </c>
      <c r="D199" s="16" t="s">
        <v>217</v>
      </c>
      <c r="E199" s="14" t="s">
        <v>155</v>
      </c>
      <c r="F199" s="15">
        <v>18</v>
      </c>
      <c r="G199" s="15">
        <v>941693002143</v>
      </c>
      <c r="H199" s="18">
        <v>46120</v>
      </c>
      <c r="I199" s="18">
        <v>46119</v>
      </c>
      <c r="J199" s="18">
        <v>46120</v>
      </c>
      <c r="K199" s="18">
        <v>46121</v>
      </c>
      <c r="L199" s="15">
        <v>2</v>
      </c>
      <c r="M199" s="14" t="s">
        <v>19</v>
      </c>
      <c r="N199" s="14" t="s">
        <v>157</v>
      </c>
      <c r="O199" s="20" t="s">
        <v>542</v>
      </c>
    </row>
    <row r="200" spans="1:15" ht="15.75" x14ac:dyDescent="0.25">
      <c r="A200" s="14">
        <v>199</v>
      </c>
      <c r="B200" s="15">
        <v>63001909</v>
      </c>
      <c r="C200" s="16" t="s">
        <v>259</v>
      </c>
      <c r="D200" s="16" t="s">
        <v>260</v>
      </c>
      <c r="E200" s="14" t="s">
        <v>161</v>
      </c>
      <c r="F200" s="15">
        <v>23</v>
      </c>
      <c r="G200" s="15">
        <v>803548002646</v>
      </c>
      <c r="H200" s="18">
        <v>46120</v>
      </c>
      <c r="I200" s="18">
        <v>46113</v>
      </c>
      <c r="J200" s="18">
        <v>46114</v>
      </c>
      <c r="K200" s="18">
        <v>46115</v>
      </c>
      <c r="L200" s="15">
        <v>2</v>
      </c>
      <c r="M200" s="14" t="s">
        <v>19</v>
      </c>
      <c r="N200" s="14" t="s">
        <v>157</v>
      </c>
      <c r="O200" s="20" t="s">
        <v>542</v>
      </c>
    </row>
    <row r="201" spans="1:15" ht="15.75" x14ac:dyDescent="0.25">
      <c r="A201" s="14">
        <v>200</v>
      </c>
      <c r="B201" s="15">
        <v>63001519</v>
      </c>
      <c r="C201" s="16" t="s">
        <v>226</v>
      </c>
      <c r="D201" s="16" t="s">
        <v>227</v>
      </c>
      <c r="E201" s="14" t="s">
        <v>161</v>
      </c>
      <c r="F201" s="15"/>
      <c r="G201" s="15">
        <v>910617003851</v>
      </c>
      <c r="H201" s="18">
        <v>46120</v>
      </c>
      <c r="I201" s="18">
        <v>46112</v>
      </c>
      <c r="J201" s="18">
        <v>46114</v>
      </c>
      <c r="K201" s="18">
        <v>46115</v>
      </c>
      <c r="L201" s="15">
        <v>3</v>
      </c>
      <c r="M201" s="14" t="s">
        <v>19</v>
      </c>
      <c r="N201" s="14" t="s">
        <v>157</v>
      </c>
      <c r="O201" s="20" t="s">
        <v>542</v>
      </c>
    </row>
    <row r="202" spans="1:15" ht="15.75" x14ac:dyDescent="0.25">
      <c r="A202" s="14">
        <v>201</v>
      </c>
      <c r="B202" s="15">
        <v>63001720</v>
      </c>
      <c r="C202" s="16" t="s">
        <v>325</v>
      </c>
      <c r="D202" s="16" t="s">
        <v>326</v>
      </c>
      <c r="E202" s="14" t="s">
        <v>161</v>
      </c>
      <c r="F202" s="15"/>
      <c r="G202" s="15">
        <v>930037051652</v>
      </c>
      <c r="H202" s="18">
        <v>46121</v>
      </c>
      <c r="I202" s="18">
        <v>46117</v>
      </c>
      <c r="J202" s="18">
        <v>46131</v>
      </c>
      <c r="K202" s="18">
        <v>46132</v>
      </c>
      <c r="L202" s="15">
        <v>15</v>
      </c>
      <c r="M202" s="14" t="s">
        <v>19</v>
      </c>
      <c r="N202" s="14" t="s">
        <v>157</v>
      </c>
      <c r="O202" s="20" t="s">
        <v>158</v>
      </c>
    </row>
    <row r="203" spans="1:15" ht="15.75" x14ac:dyDescent="0.25">
      <c r="A203" s="14">
        <v>202</v>
      </c>
      <c r="B203" s="15">
        <v>63001793</v>
      </c>
      <c r="C203" s="16" t="s">
        <v>240</v>
      </c>
      <c r="D203" s="16" t="s">
        <v>176</v>
      </c>
      <c r="E203" s="14" t="s">
        <v>155</v>
      </c>
      <c r="F203" s="15"/>
      <c r="G203" s="15">
        <v>950235009144</v>
      </c>
      <c r="H203" s="18">
        <v>46121</v>
      </c>
      <c r="I203" s="18">
        <v>46119</v>
      </c>
      <c r="J203" s="18">
        <v>46119</v>
      </c>
      <c r="K203" s="18">
        <v>46120</v>
      </c>
      <c r="L203" s="15">
        <v>1</v>
      </c>
      <c r="M203" s="14" t="s">
        <v>19</v>
      </c>
      <c r="N203" s="14" t="s">
        <v>157</v>
      </c>
      <c r="O203" s="20" t="s">
        <v>542</v>
      </c>
    </row>
    <row r="204" spans="1:15" ht="15.75" x14ac:dyDescent="0.25">
      <c r="A204" s="14">
        <v>203</v>
      </c>
      <c r="B204" s="15">
        <v>63001452</v>
      </c>
      <c r="C204" s="16" t="s">
        <v>327</v>
      </c>
      <c r="D204" s="16" t="s">
        <v>328</v>
      </c>
      <c r="E204" s="14" t="s">
        <v>155</v>
      </c>
      <c r="F204" s="15"/>
      <c r="G204" s="15">
        <v>901145003455</v>
      </c>
      <c r="H204" s="18">
        <v>46121</v>
      </c>
      <c r="I204" s="18">
        <v>46119</v>
      </c>
      <c r="J204" s="18">
        <v>46120</v>
      </c>
      <c r="K204" s="18">
        <v>46121</v>
      </c>
      <c r="L204" s="15">
        <v>2</v>
      </c>
      <c r="M204" s="14" t="s">
        <v>19</v>
      </c>
      <c r="N204" s="14" t="s">
        <v>157</v>
      </c>
      <c r="O204" s="20" t="s">
        <v>542</v>
      </c>
    </row>
    <row r="205" spans="1:15" ht="15.75" x14ac:dyDescent="0.25">
      <c r="A205" s="14">
        <v>204</v>
      </c>
      <c r="B205" s="15">
        <v>63011090</v>
      </c>
      <c r="C205" s="16" t="s">
        <v>329</v>
      </c>
      <c r="D205" s="16" t="s">
        <v>330</v>
      </c>
      <c r="E205" s="14" t="s">
        <v>161</v>
      </c>
      <c r="F205" s="15"/>
      <c r="G205" s="15">
        <v>960538004840</v>
      </c>
      <c r="H205" s="18">
        <v>46124</v>
      </c>
      <c r="I205" s="18">
        <v>46124</v>
      </c>
      <c r="J205" s="18">
        <v>46128</v>
      </c>
      <c r="K205" s="18">
        <v>46129</v>
      </c>
      <c r="L205" s="15">
        <v>5</v>
      </c>
      <c r="M205" s="14" t="s">
        <v>19</v>
      </c>
      <c r="N205" s="14" t="s">
        <v>157</v>
      </c>
      <c r="O205" s="20" t="s">
        <v>158</v>
      </c>
    </row>
    <row r="206" spans="1:15" ht="15.75" x14ac:dyDescent="0.25">
      <c r="A206" s="14">
        <v>205</v>
      </c>
      <c r="B206" s="15">
        <v>63001537</v>
      </c>
      <c r="C206" s="16" t="s">
        <v>331</v>
      </c>
      <c r="D206" s="16" t="s">
        <v>167</v>
      </c>
      <c r="E206" s="14" t="s">
        <v>161</v>
      </c>
      <c r="F206" s="15"/>
      <c r="G206" s="15">
        <v>870155038339</v>
      </c>
      <c r="H206" s="18">
        <v>46124</v>
      </c>
      <c r="I206" s="18">
        <v>46119</v>
      </c>
      <c r="J206" s="18">
        <v>46119</v>
      </c>
      <c r="K206" s="18">
        <v>46120</v>
      </c>
      <c r="L206" s="15">
        <v>1</v>
      </c>
      <c r="M206" s="14" t="s">
        <v>19</v>
      </c>
      <c r="N206" s="14" t="s">
        <v>157</v>
      </c>
      <c r="O206" s="20" t="s">
        <v>542</v>
      </c>
    </row>
    <row r="207" spans="1:15" ht="15.75" x14ac:dyDescent="0.25">
      <c r="A207" s="14">
        <v>206</v>
      </c>
      <c r="B207" s="15">
        <v>63001592</v>
      </c>
      <c r="C207" s="16" t="s">
        <v>264</v>
      </c>
      <c r="D207" s="16" t="s">
        <v>178</v>
      </c>
      <c r="E207" s="14" t="s">
        <v>155</v>
      </c>
      <c r="F207" s="15">
        <v>20</v>
      </c>
      <c r="G207" s="15">
        <v>884731001447</v>
      </c>
      <c r="H207" s="18">
        <v>46124</v>
      </c>
      <c r="I207" s="18">
        <v>46124</v>
      </c>
      <c r="J207" s="18">
        <v>46273</v>
      </c>
      <c r="K207" s="18">
        <v>46274</v>
      </c>
      <c r="L207" s="15">
        <v>150</v>
      </c>
      <c r="M207" s="14" t="s">
        <v>156</v>
      </c>
      <c r="N207" s="14" t="s">
        <v>157</v>
      </c>
      <c r="O207" s="20" t="s">
        <v>158</v>
      </c>
    </row>
    <row r="208" spans="1:15" ht="15.75" x14ac:dyDescent="0.25">
      <c r="A208" s="14">
        <v>207</v>
      </c>
      <c r="B208" s="15">
        <v>63001500</v>
      </c>
      <c r="C208" s="16" t="s">
        <v>186</v>
      </c>
      <c r="D208" s="16" t="s">
        <v>187</v>
      </c>
      <c r="E208" s="14" t="s">
        <v>155</v>
      </c>
      <c r="F208" s="15">
        <v>20</v>
      </c>
      <c r="G208" s="15">
        <v>850409004354</v>
      </c>
      <c r="H208" s="18">
        <v>46126</v>
      </c>
      <c r="I208" s="18">
        <v>46124</v>
      </c>
      <c r="J208" s="18">
        <v>46124</v>
      </c>
      <c r="K208" s="18">
        <v>46125</v>
      </c>
      <c r="L208" s="15">
        <v>1</v>
      </c>
      <c r="M208" s="14" t="s">
        <v>19</v>
      </c>
      <c r="N208" s="14" t="s">
        <v>157</v>
      </c>
      <c r="O208" s="20" t="s">
        <v>542</v>
      </c>
    </row>
    <row r="209" spans="1:15" ht="15.75" x14ac:dyDescent="0.25">
      <c r="A209" s="14">
        <v>208</v>
      </c>
      <c r="B209" s="15">
        <v>63001716</v>
      </c>
      <c r="C209" s="16" t="s">
        <v>253</v>
      </c>
      <c r="D209" s="16" t="s">
        <v>254</v>
      </c>
      <c r="E209" s="14" t="s">
        <v>155</v>
      </c>
      <c r="F209" s="15">
        <v>18</v>
      </c>
      <c r="G209" s="15">
        <v>953136001550</v>
      </c>
      <c r="H209" s="18">
        <v>46126</v>
      </c>
      <c r="I209" s="18">
        <v>46120</v>
      </c>
      <c r="J209" s="18">
        <v>46120</v>
      </c>
      <c r="K209" s="18">
        <v>46121</v>
      </c>
      <c r="L209" s="15">
        <v>1</v>
      </c>
      <c r="M209" s="14" t="s">
        <v>19</v>
      </c>
      <c r="N209" s="14" t="s">
        <v>157</v>
      </c>
      <c r="O209" s="20" t="s">
        <v>542</v>
      </c>
    </row>
    <row r="210" spans="1:15" ht="15.75" x14ac:dyDescent="0.25">
      <c r="A210" s="14">
        <v>209</v>
      </c>
      <c r="B210" s="15">
        <v>63001703</v>
      </c>
      <c r="C210" s="16" t="s">
        <v>332</v>
      </c>
      <c r="D210" s="16" t="s">
        <v>171</v>
      </c>
      <c r="E210" s="14" t="s">
        <v>155</v>
      </c>
      <c r="F210" s="15"/>
      <c r="G210" s="15">
        <v>945836001144</v>
      </c>
      <c r="H210" s="18">
        <v>46135</v>
      </c>
      <c r="I210" s="18">
        <v>46119</v>
      </c>
      <c r="J210" s="18">
        <v>46126</v>
      </c>
      <c r="K210" s="18">
        <v>46127</v>
      </c>
      <c r="L210" s="15">
        <v>8</v>
      </c>
      <c r="M210" s="14" t="s">
        <v>19</v>
      </c>
      <c r="N210" s="14" t="s">
        <v>157</v>
      </c>
      <c r="O210" s="20" t="s">
        <v>542</v>
      </c>
    </row>
    <row r="211" spans="1:15" ht="15.75" x14ac:dyDescent="0.25">
      <c r="A211" s="14">
        <v>210</v>
      </c>
      <c r="B211" s="15">
        <v>63001807</v>
      </c>
      <c r="C211" s="16" t="s">
        <v>241</v>
      </c>
      <c r="D211" s="16" t="s">
        <v>176</v>
      </c>
      <c r="E211" s="14" t="s">
        <v>155</v>
      </c>
      <c r="F211" s="15">
        <v>20</v>
      </c>
      <c r="G211" s="15">
        <v>973398000633</v>
      </c>
      <c r="H211" s="18">
        <v>46135</v>
      </c>
      <c r="I211" s="18">
        <v>46131</v>
      </c>
      <c r="J211" s="18">
        <v>46142</v>
      </c>
      <c r="K211" s="18">
        <v>46143</v>
      </c>
      <c r="L211" s="15">
        <v>12</v>
      </c>
      <c r="M211" s="14" t="s">
        <v>19</v>
      </c>
      <c r="N211" s="14" t="s">
        <v>157</v>
      </c>
      <c r="O211" s="20" t="s">
        <v>158</v>
      </c>
    </row>
    <row r="212" spans="1:15" ht="15.75" x14ac:dyDescent="0.25">
      <c r="A212" s="14">
        <v>211</v>
      </c>
      <c r="B212" s="15">
        <v>63010990</v>
      </c>
      <c r="C212" s="16" t="s">
        <v>255</v>
      </c>
      <c r="D212" s="16" t="s">
        <v>247</v>
      </c>
      <c r="E212" s="14" t="s">
        <v>155</v>
      </c>
      <c r="F212" s="15">
        <v>20</v>
      </c>
      <c r="G212" s="15">
        <v>22671003660</v>
      </c>
      <c r="H212" s="18">
        <v>46135</v>
      </c>
      <c r="I212" s="18">
        <v>46131</v>
      </c>
      <c r="J212" s="18">
        <v>46131</v>
      </c>
      <c r="K212" s="18">
        <v>46132</v>
      </c>
      <c r="L212" s="15">
        <v>1</v>
      </c>
      <c r="M212" s="14" t="s">
        <v>19</v>
      </c>
      <c r="N212" s="14" t="s">
        <v>157</v>
      </c>
      <c r="O212" s="20" t="s">
        <v>542</v>
      </c>
    </row>
    <row r="213" spans="1:15" ht="15.75" x14ac:dyDescent="0.25">
      <c r="A213" s="14">
        <v>212</v>
      </c>
      <c r="B213" s="15">
        <v>63001827</v>
      </c>
      <c r="C213" s="16" t="s">
        <v>179</v>
      </c>
      <c r="D213" s="16" t="s">
        <v>178</v>
      </c>
      <c r="E213" s="14" t="s">
        <v>155</v>
      </c>
      <c r="F213" s="15">
        <v>20</v>
      </c>
      <c r="G213" s="15">
        <v>670466005048</v>
      </c>
      <c r="H213" s="18">
        <v>46135</v>
      </c>
      <c r="I213" s="18">
        <v>46129</v>
      </c>
      <c r="J213" s="18">
        <v>46130</v>
      </c>
      <c r="K213" s="18">
        <v>46131</v>
      </c>
      <c r="L213" s="15">
        <v>2</v>
      </c>
      <c r="M213" s="14" t="s">
        <v>19</v>
      </c>
      <c r="N213" s="14" t="s">
        <v>157</v>
      </c>
      <c r="O213" s="20" t="s">
        <v>542</v>
      </c>
    </row>
    <row r="214" spans="1:15" ht="15.75" x14ac:dyDescent="0.25">
      <c r="A214" s="14">
        <v>213</v>
      </c>
      <c r="B214" s="15">
        <v>63001696</v>
      </c>
      <c r="C214" s="16" t="s">
        <v>216</v>
      </c>
      <c r="D214" s="16" t="s">
        <v>217</v>
      </c>
      <c r="E214" s="14" t="s">
        <v>155</v>
      </c>
      <c r="F214" s="15">
        <v>18</v>
      </c>
      <c r="G214" s="15">
        <v>941693002143</v>
      </c>
      <c r="H214" s="18">
        <v>46135</v>
      </c>
      <c r="I214" s="18">
        <v>46127</v>
      </c>
      <c r="J214" s="18">
        <v>46127</v>
      </c>
      <c r="K214" s="18">
        <v>46128</v>
      </c>
      <c r="L214" s="15">
        <v>1</v>
      </c>
      <c r="M214" s="14" t="s">
        <v>19</v>
      </c>
      <c r="N214" s="14" t="s">
        <v>157</v>
      </c>
      <c r="O214" s="20" t="s">
        <v>542</v>
      </c>
    </row>
    <row r="215" spans="1:15" ht="15.75" x14ac:dyDescent="0.25">
      <c r="A215" s="14">
        <v>214</v>
      </c>
      <c r="B215" s="15">
        <v>63001860</v>
      </c>
      <c r="C215" s="16" t="s">
        <v>333</v>
      </c>
      <c r="D215" s="16" t="s">
        <v>334</v>
      </c>
      <c r="E215" s="14" t="s">
        <v>161</v>
      </c>
      <c r="F215" s="15"/>
      <c r="G215" s="15">
        <v>722502001268</v>
      </c>
      <c r="H215" s="18">
        <v>46135</v>
      </c>
      <c r="I215" s="18">
        <v>46132</v>
      </c>
      <c r="J215" s="18">
        <v>46141</v>
      </c>
      <c r="K215" s="18">
        <v>46142</v>
      </c>
      <c r="L215" s="15">
        <v>10</v>
      </c>
      <c r="M215" s="14" t="s">
        <v>19</v>
      </c>
      <c r="N215" s="14" t="s">
        <v>157</v>
      </c>
      <c r="O215" s="20" t="s">
        <v>158</v>
      </c>
    </row>
    <row r="216" spans="1:15" ht="15.75" x14ac:dyDescent="0.25">
      <c r="A216" s="14">
        <v>215</v>
      </c>
      <c r="B216" s="15">
        <v>63001661</v>
      </c>
      <c r="C216" s="16" t="s">
        <v>335</v>
      </c>
      <c r="D216" s="16" t="s">
        <v>336</v>
      </c>
      <c r="E216" s="14" t="s">
        <v>161</v>
      </c>
      <c r="F216" s="15"/>
      <c r="G216" s="15">
        <v>930084039037</v>
      </c>
      <c r="H216" s="18">
        <v>46135</v>
      </c>
      <c r="I216" s="18">
        <v>46127</v>
      </c>
      <c r="J216" s="18">
        <v>46127</v>
      </c>
      <c r="K216" s="18">
        <v>46128</v>
      </c>
      <c r="L216" s="15">
        <v>1</v>
      </c>
      <c r="M216" s="14" t="s">
        <v>19</v>
      </c>
      <c r="N216" s="14" t="s">
        <v>157</v>
      </c>
      <c r="O216" s="20" t="s">
        <v>542</v>
      </c>
    </row>
    <row r="217" spans="1:15" ht="15.75" x14ac:dyDescent="0.25">
      <c r="A217" s="14">
        <v>216</v>
      </c>
      <c r="B217" s="15">
        <v>63001823</v>
      </c>
      <c r="C217" s="16" t="s">
        <v>224</v>
      </c>
      <c r="D217" s="16" t="s">
        <v>225</v>
      </c>
      <c r="E217" s="14" t="s">
        <v>155</v>
      </c>
      <c r="F217" s="15"/>
      <c r="G217" s="15">
        <v>923199001538</v>
      </c>
      <c r="H217" s="18">
        <v>46135</v>
      </c>
      <c r="I217" s="18">
        <v>46131</v>
      </c>
      <c r="J217" s="18">
        <v>46131</v>
      </c>
      <c r="K217" s="18">
        <v>46132</v>
      </c>
      <c r="L217" s="15">
        <v>1</v>
      </c>
      <c r="M217" s="14" t="s">
        <v>19</v>
      </c>
      <c r="N217" s="14" t="s">
        <v>157</v>
      </c>
      <c r="O217" s="20" t="s">
        <v>542</v>
      </c>
    </row>
    <row r="218" spans="1:15" ht="15.75" x14ac:dyDescent="0.25">
      <c r="A218" s="14">
        <v>217</v>
      </c>
      <c r="B218" s="15">
        <v>63001793</v>
      </c>
      <c r="C218" s="16" t="s">
        <v>240</v>
      </c>
      <c r="D218" s="16" t="s">
        <v>176</v>
      </c>
      <c r="E218" s="14" t="s">
        <v>155</v>
      </c>
      <c r="F218" s="15"/>
      <c r="G218" s="15">
        <v>950235009144</v>
      </c>
      <c r="H218" s="18">
        <v>46135</v>
      </c>
      <c r="I218" s="18">
        <v>46127</v>
      </c>
      <c r="J218" s="18">
        <v>46128</v>
      </c>
      <c r="K218" s="18">
        <v>46129</v>
      </c>
      <c r="L218" s="15">
        <v>2</v>
      </c>
      <c r="M218" s="14" t="s">
        <v>19</v>
      </c>
      <c r="N218" s="14" t="s">
        <v>157</v>
      </c>
      <c r="O218" s="20" t="s">
        <v>542</v>
      </c>
    </row>
    <row r="219" spans="1:15" ht="15.75" x14ac:dyDescent="0.25">
      <c r="A219" s="14">
        <v>218</v>
      </c>
      <c r="B219" s="15">
        <v>63001793</v>
      </c>
      <c r="C219" s="16" t="s">
        <v>240</v>
      </c>
      <c r="D219" s="16" t="s">
        <v>176</v>
      </c>
      <c r="E219" s="14" t="s">
        <v>155</v>
      </c>
      <c r="F219" s="15"/>
      <c r="G219" s="15">
        <v>950235009144</v>
      </c>
      <c r="H219" s="18">
        <v>46135</v>
      </c>
      <c r="I219" s="18">
        <v>46129</v>
      </c>
      <c r="J219" s="18">
        <v>46129</v>
      </c>
      <c r="K219" s="18">
        <v>46130</v>
      </c>
      <c r="L219" s="15">
        <v>1</v>
      </c>
      <c r="M219" s="14" t="s">
        <v>19</v>
      </c>
      <c r="N219" s="14" t="s">
        <v>157</v>
      </c>
      <c r="O219" s="20" t="s">
        <v>542</v>
      </c>
    </row>
    <row r="220" spans="1:15" ht="15.75" x14ac:dyDescent="0.25">
      <c r="A220" s="14">
        <v>219</v>
      </c>
      <c r="B220" s="15">
        <v>63001720</v>
      </c>
      <c r="C220" s="16" t="s">
        <v>325</v>
      </c>
      <c r="D220" s="16" t="s">
        <v>326</v>
      </c>
      <c r="E220" s="14" t="s">
        <v>161</v>
      </c>
      <c r="F220" s="15"/>
      <c r="G220" s="15">
        <v>930037051652</v>
      </c>
      <c r="H220" s="18">
        <v>46135</v>
      </c>
      <c r="I220" s="18">
        <v>46132</v>
      </c>
      <c r="J220" s="18">
        <v>46142</v>
      </c>
      <c r="K220" s="18">
        <v>46143</v>
      </c>
      <c r="L220" s="15">
        <v>11</v>
      </c>
      <c r="M220" s="14" t="s">
        <v>19</v>
      </c>
      <c r="N220" s="14" t="s">
        <v>157</v>
      </c>
      <c r="O220" s="20" t="s">
        <v>158</v>
      </c>
    </row>
    <row r="221" spans="1:15" ht="15.75" x14ac:dyDescent="0.25">
      <c r="A221" s="14">
        <v>220</v>
      </c>
      <c r="B221" s="15">
        <v>63001337</v>
      </c>
      <c r="C221" s="16" t="s">
        <v>188</v>
      </c>
      <c r="D221" s="16" t="s">
        <v>189</v>
      </c>
      <c r="E221" s="14" t="s">
        <v>161</v>
      </c>
      <c r="F221" s="15">
        <v>22</v>
      </c>
      <c r="G221" s="15">
        <v>890042008543</v>
      </c>
      <c r="H221" s="18">
        <v>46135</v>
      </c>
      <c r="I221" s="18">
        <v>46134</v>
      </c>
      <c r="J221" s="18">
        <v>46163</v>
      </c>
      <c r="K221" s="18">
        <v>46164</v>
      </c>
      <c r="L221" s="15">
        <v>30</v>
      </c>
      <c r="M221" s="14" t="s">
        <v>19</v>
      </c>
      <c r="N221" s="14" t="s">
        <v>165</v>
      </c>
      <c r="O221" s="20" t="s">
        <v>542</v>
      </c>
    </row>
    <row r="222" spans="1:15" ht="15.75" x14ac:dyDescent="0.25">
      <c r="A222" s="14">
        <v>221</v>
      </c>
      <c r="B222" s="15">
        <v>63037003</v>
      </c>
      <c r="C222" s="16" t="s">
        <v>263</v>
      </c>
      <c r="D222" s="16" t="s">
        <v>171</v>
      </c>
      <c r="E222" s="14" t="s">
        <v>155</v>
      </c>
      <c r="F222" s="15"/>
      <c r="G222" s="15">
        <v>20629005365</v>
      </c>
      <c r="H222" s="18">
        <v>46135</v>
      </c>
      <c r="I222" s="18">
        <v>46131</v>
      </c>
      <c r="J222" s="18">
        <v>46131</v>
      </c>
      <c r="K222" s="18">
        <v>46132</v>
      </c>
      <c r="L222" s="15">
        <v>1</v>
      </c>
      <c r="M222" s="14" t="s">
        <v>19</v>
      </c>
      <c r="N222" s="14" t="s">
        <v>157</v>
      </c>
      <c r="O222" s="20" t="s">
        <v>542</v>
      </c>
    </row>
    <row r="223" spans="1:15" ht="15.75" x14ac:dyDescent="0.25">
      <c r="A223" s="14">
        <v>222</v>
      </c>
      <c r="B223" s="15">
        <v>63001698</v>
      </c>
      <c r="C223" s="16" t="s">
        <v>182</v>
      </c>
      <c r="D223" s="16" t="s">
        <v>183</v>
      </c>
      <c r="E223" s="14" t="s">
        <v>161</v>
      </c>
      <c r="F223" s="15">
        <v>22</v>
      </c>
      <c r="G223" s="15">
        <v>910461009738</v>
      </c>
      <c r="H223" s="18">
        <v>46142</v>
      </c>
      <c r="I223" s="18">
        <v>46134</v>
      </c>
      <c r="J223" s="18">
        <v>46134</v>
      </c>
      <c r="K223" s="18">
        <v>46135</v>
      </c>
      <c r="L223" s="15">
        <v>1</v>
      </c>
      <c r="M223" s="14" t="s">
        <v>19</v>
      </c>
      <c r="N223" s="14" t="s">
        <v>157</v>
      </c>
      <c r="O223" s="20" t="s">
        <v>158</v>
      </c>
    </row>
    <row r="224" spans="1:15" ht="15.75" x14ac:dyDescent="0.25">
      <c r="A224" s="14">
        <v>223</v>
      </c>
      <c r="B224" s="15">
        <v>63001940</v>
      </c>
      <c r="C224" s="16" t="s">
        <v>211</v>
      </c>
      <c r="D224" s="16" t="s">
        <v>185</v>
      </c>
      <c r="E224" s="14" t="s">
        <v>155</v>
      </c>
      <c r="F224" s="15">
        <v>21</v>
      </c>
      <c r="G224" s="15">
        <v>800625010760</v>
      </c>
      <c r="H224" s="18">
        <v>46142</v>
      </c>
      <c r="I224" s="18">
        <v>46141</v>
      </c>
      <c r="J224" s="18">
        <v>46154</v>
      </c>
      <c r="K224" s="18">
        <v>46155</v>
      </c>
      <c r="L224" s="15">
        <v>14</v>
      </c>
      <c r="M224" s="14" t="s">
        <v>19</v>
      </c>
      <c r="N224" s="14" t="s">
        <v>157</v>
      </c>
      <c r="O224" s="20" t="s">
        <v>158</v>
      </c>
    </row>
    <row r="225" spans="1:15" ht="15.75" x14ac:dyDescent="0.25">
      <c r="A225" s="14">
        <v>224</v>
      </c>
      <c r="B225" s="15">
        <v>63001698</v>
      </c>
      <c r="C225" s="16" t="s">
        <v>182</v>
      </c>
      <c r="D225" s="16" t="s">
        <v>183</v>
      </c>
      <c r="E225" s="14" t="s">
        <v>161</v>
      </c>
      <c r="F225" s="15">
        <v>22</v>
      </c>
      <c r="G225" s="15">
        <v>910461009738</v>
      </c>
      <c r="H225" s="18">
        <v>46136</v>
      </c>
      <c r="I225" s="18">
        <v>46135</v>
      </c>
      <c r="J225" s="18">
        <v>46164</v>
      </c>
      <c r="K225" s="18">
        <v>46165</v>
      </c>
      <c r="L225" s="15">
        <v>30</v>
      </c>
      <c r="M225" s="14" t="s">
        <v>19</v>
      </c>
      <c r="N225" s="14" t="s">
        <v>165</v>
      </c>
      <c r="O225" s="20" t="s">
        <v>158</v>
      </c>
    </row>
    <row r="226" spans="1:15" ht="15.75" x14ac:dyDescent="0.25">
      <c r="A226" s="14">
        <v>225</v>
      </c>
      <c r="B226" s="15">
        <v>63030548</v>
      </c>
      <c r="C226" s="16" t="s">
        <v>208</v>
      </c>
      <c r="D226" s="16" t="s">
        <v>209</v>
      </c>
      <c r="E226" s="14" t="s">
        <v>155</v>
      </c>
      <c r="F226" s="15">
        <v>20</v>
      </c>
      <c r="G226" s="15">
        <v>951020010564</v>
      </c>
      <c r="H226" s="18">
        <v>46142</v>
      </c>
      <c r="I226" s="18">
        <v>46140</v>
      </c>
      <c r="J226" s="18">
        <v>46140</v>
      </c>
      <c r="K226" s="18">
        <v>46141</v>
      </c>
      <c r="L226" s="15">
        <v>1</v>
      </c>
      <c r="M226" s="14" t="s">
        <v>19</v>
      </c>
      <c r="N226" s="14" t="s">
        <v>157</v>
      </c>
      <c r="O226" s="20" t="s">
        <v>542</v>
      </c>
    </row>
    <row r="227" spans="1:15" ht="15.75" x14ac:dyDescent="0.25">
      <c r="A227" s="14">
        <v>226</v>
      </c>
      <c r="B227" s="15">
        <v>63001860</v>
      </c>
      <c r="C227" s="16" t="s">
        <v>333</v>
      </c>
      <c r="D227" s="16" t="s">
        <v>334</v>
      </c>
      <c r="E227" s="14" t="s">
        <v>161</v>
      </c>
      <c r="F227" s="15"/>
      <c r="G227" s="15">
        <v>722502001268</v>
      </c>
      <c r="H227" s="18">
        <v>46142</v>
      </c>
      <c r="I227" s="18">
        <v>46142</v>
      </c>
      <c r="J227" s="18">
        <v>46162</v>
      </c>
      <c r="K227" s="18">
        <v>46163</v>
      </c>
      <c r="L227" s="15">
        <v>21</v>
      </c>
      <c r="M227" s="14" t="s">
        <v>19</v>
      </c>
      <c r="N227" s="14" t="s">
        <v>157</v>
      </c>
      <c r="O227" s="20" t="s">
        <v>158</v>
      </c>
    </row>
    <row r="228" spans="1:15" ht="15.75" x14ac:dyDescent="0.25">
      <c r="A228" s="14">
        <v>227</v>
      </c>
      <c r="B228" s="15">
        <v>63001827</v>
      </c>
      <c r="C228" s="16" t="s">
        <v>179</v>
      </c>
      <c r="D228" s="16" t="s">
        <v>178</v>
      </c>
      <c r="E228" s="14" t="s">
        <v>155</v>
      </c>
      <c r="F228" s="15">
        <v>20</v>
      </c>
      <c r="G228" s="15">
        <v>670466005048</v>
      </c>
      <c r="H228" s="18">
        <v>46142</v>
      </c>
      <c r="I228" s="18">
        <v>46137</v>
      </c>
      <c r="J228" s="18">
        <v>46138</v>
      </c>
      <c r="K228" s="18">
        <v>46139</v>
      </c>
      <c r="L228" s="15">
        <v>2</v>
      </c>
      <c r="M228" s="14" t="s">
        <v>19</v>
      </c>
      <c r="N228" s="14" t="s">
        <v>157</v>
      </c>
      <c r="O228" s="20" t="s">
        <v>542</v>
      </c>
    </row>
    <row r="229" spans="1:15" ht="15.75" x14ac:dyDescent="0.25">
      <c r="A229" s="14">
        <v>228</v>
      </c>
      <c r="B229" s="15">
        <v>63001650</v>
      </c>
      <c r="C229" s="16" t="s">
        <v>210</v>
      </c>
      <c r="D229" s="16" t="s">
        <v>194</v>
      </c>
      <c r="E229" s="14" t="s">
        <v>161</v>
      </c>
      <c r="F229" s="15">
        <v>21</v>
      </c>
      <c r="G229" s="15">
        <v>936023000851</v>
      </c>
      <c r="H229" s="18">
        <v>46142</v>
      </c>
      <c r="I229" s="18">
        <v>46102</v>
      </c>
      <c r="J229" s="18">
        <v>46264</v>
      </c>
      <c r="K229" s="18">
        <v>46265</v>
      </c>
      <c r="L229" s="15">
        <v>150</v>
      </c>
      <c r="M229" s="14" t="s">
        <v>19</v>
      </c>
      <c r="N229" s="14" t="s">
        <v>157</v>
      </c>
      <c r="O229" s="20" t="s">
        <v>158</v>
      </c>
    </row>
    <row r="230" spans="1:15" ht="15.75" x14ac:dyDescent="0.25">
      <c r="A230" s="14">
        <v>229</v>
      </c>
      <c r="B230" s="15">
        <v>63001949</v>
      </c>
      <c r="C230" s="16" t="s">
        <v>337</v>
      </c>
      <c r="D230" s="16" t="s">
        <v>236</v>
      </c>
      <c r="E230" s="14" t="s">
        <v>161</v>
      </c>
      <c r="F230" s="15"/>
      <c r="G230" s="15">
        <v>782628002546</v>
      </c>
      <c r="H230" s="18">
        <v>46142</v>
      </c>
      <c r="I230" s="18">
        <v>46141</v>
      </c>
      <c r="J230" s="18">
        <v>46230</v>
      </c>
      <c r="K230" s="18">
        <v>46231</v>
      </c>
      <c r="L230" s="15">
        <v>90</v>
      </c>
      <c r="M230" s="14" t="s">
        <v>19</v>
      </c>
      <c r="N230" s="14" t="s">
        <v>157</v>
      </c>
      <c r="O230" s="20" t="s">
        <v>542</v>
      </c>
    </row>
    <row r="231" spans="1:15" ht="15.75" x14ac:dyDescent="0.25">
      <c r="A231" s="14">
        <v>230</v>
      </c>
      <c r="B231" s="15">
        <v>63001702</v>
      </c>
      <c r="C231" s="16" t="s">
        <v>338</v>
      </c>
      <c r="D231" s="16" t="s">
        <v>339</v>
      </c>
      <c r="E231" s="14"/>
      <c r="F231" s="15">
        <v>23</v>
      </c>
      <c r="G231" s="15">
        <v>920099035930</v>
      </c>
      <c r="H231" s="18">
        <v>46048</v>
      </c>
      <c r="I231" s="18">
        <v>46047</v>
      </c>
      <c r="J231" s="18">
        <v>46076</v>
      </c>
      <c r="K231" s="18">
        <v>46077</v>
      </c>
      <c r="L231" s="15">
        <v>30</v>
      </c>
      <c r="M231" s="14" t="s">
        <v>19</v>
      </c>
      <c r="N231" s="14" t="s">
        <v>157</v>
      </c>
      <c r="O231" s="20" t="s">
        <v>542</v>
      </c>
    </row>
    <row r="232" spans="1:15" ht="15.75" x14ac:dyDescent="0.25">
      <c r="A232" s="14">
        <v>231</v>
      </c>
      <c r="B232" s="15">
        <v>63001903</v>
      </c>
      <c r="C232" s="16" t="s">
        <v>184</v>
      </c>
      <c r="D232" s="16" t="s">
        <v>185</v>
      </c>
      <c r="E232" s="14" t="s">
        <v>161</v>
      </c>
      <c r="F232" s="15">
        <v>21</v>
      </c>
      <c r="G232" s="15">
        <v>748614000152</v>
      </c>
      <c r="H232" s="18">
        <v>46142</v>
      </c>
      <c r="I232" s="18">
        <v>46137</v>
      </c>
      <c r="J232" s="18">
        <v>46138</v>
      </c>
      <c r="K232" s="18">
        <v>46139</v>
      </c>
      <c r="L232" s="15">
        <v>2</v>
      </c>
      <c r="M232" s="14" t="s">
        <v>19</v>
      </c>
      <c r="N232" s="14" t="s">
        <v>157</v>
      </c>
      <c r="O232" s="20" t="s">
        <v>542</v>
      </c>
    </row>
    <row r="233" spans="1:15" ht="15.75" x14ac:dyDescent="0.25">
      <c r="A233" s="14">
        <v>232</v>
      </c>
      <c r="B233" s="15">
        <v>63001785</v>
      </c>
      <c r="C233" s="16" t="s">
        <v>340</v>
      </c>
      <c r="D233" s="16" t="s">
        <v>247</v>
      </c>
      <c r="E233" s="14"/>
      <c r="F233" s="15"/>
      <c r="G233" s="15">
        <v>958531000345</v>
      </c>
      <c r="H233" s="18">
        <v>46142</v>
      </c>
      <c r="I233" s="18">
        <v>46141</v>
      </c>
      <c r="J233" s="18">
        <v>46170</v>
      </c>
      <c r="K233" s="18">
        <v>46171</v>
      </c>
      <c r="L233" s="15">
        <v>30</v>
      </c>
      <c r="M233" s="14" t="s">
        <v>19</v>
      </c>
      <c r="N233" s="14" t="s">
        <v>157</v>
      </c>
      <c r="O233" s="20" t="s">
        <v>542</v>
      </c>
    </row>
    <row r="234" spans="1:15" ht="15.75" x14ac:dyDescent="0.25">
      <c r="A234" s="14">
        <v>233</v>
      </c>
      <c r="B234" s="15">
        <v>63001788</v>
      </c>
      <c r="C234" s="16" t="s">
        <v>276</v>
      </c>
      <c r="D234" s="16" t="s">
        <v>277</v>
      </c>
      <c r="E234" s="14" t="s">
        <v>155</v>
      </c>
      <c r="F234" s="15">
        <v>18</v>
      </c>
      <c r="G234" s="15">
        <v>872863000445</v>
      </c>
      <c r="H234" s="18">
        <v>46142</v>
      </c>
      <c r="I234" s="18">
        <v>46142</v>
      </c>
      <c r="J234" s="18">
        <v>46171</v>
      </c>
      <c r="K234" s="18">
        <v>46172</v>
      </c>
      <c r="L234" s="15">
        <v>30</v>
      </c>
      <c r="M234" s="14" t="s">
        <v>19</v>
      </c>
      <c r="N234" s="14" t="s">
        <v>165</v>
      </c>
      <c r="O234" s="20" t="s">
        <v>158</v>
      </c>
    </row>
    <row r="235" spans="1:15" ht="15.75" x14ac:dyDescent="0.25">
      <c r="A235" s="14">
        <v>234</v>
      </c>
      <c r="B235" s="15">
        <v>63036929</v>
      </c>
      <c r="C235" s="16" t="s">
        <v>341</v>
      </c>
      <c r="D235" s="16" t="s">
        <v>272</v>
      </c>
      <c r="E235" s="14" t="s">
        <v>161</v>
      </c>
      <c r="F235" s="15"/>
      <c r="G235" s="15">
        <v>950719007836</v>
      </c>
      <c r="H235" s="18">
        <v>46142</v>
      </c>
      <c r="I235" s="18">
        <v>46116</v>
      </c>
      <c r="J235" s="18">
        <v>46118</v>
      </c>
      <c r="K235" s="18">
        <v>46119</v>
      </c>
      <c r="L235" s="15">
        <v>3</v>
      </c>
      <c r="M235" s="14" t="s">
        <v>19</v>
      </c>
      <c r="N235" s="14" t="s">
        <v>157</v>
      </c>
      <c r="O235" s="20" t="s">
        <v>542</v>
      </c>
    </row>
    <row r="236" spans="1:15" ht="15.75" x14ac:dyDescent="0.25">
      <c r="A236" s="14">
        <v>235</v>
      </c>
      <c r="B236" s="15">
        <v>63036925</v>
      </c>
      <c r="C236" s="16" t="s">
        <v>342</v>
      </c>
      <c r="D236" s="16" t="s">
        <v>154</v>
      </c>
      <c r="E236" s="14" t="s">
        <v>155</v>
      </c>
      <c r="F236" s="15"/>
      <c r="G236" s="15">
        <v>30065039751</v>
      </c>
      <c r="H236" s="18">
        <v>46142</v>
      </c>
      <c r="I236" s="18">
        <v>46128</v>
      </c>
      <c r="J236" s="18">
        <v>46128</v>
      </c>
      <c r="K236" s="18">
        <v>46129</v>
      </c>
      <c r="L236" s="15">
        <v>1</v>
      </c>
      <c r="M236" s="14" t="s">
        <v>19</v>
      </c>
      <c r="N236" s="14" t="s">
        <v>157</v>
      </c>
      <c r="O236" s="20" t="s">
        <v>542</v>
      </c>
    </row>
    <row r="237" spans="1:15" ht="15.75" x14ac:dyDescent="0.25">
      <c r="A237" s="14">
        <v>236</v>
      </c>
      <c r="B237" s="15">
        <v>63036934</v>
      </c>
      <c r="C237" s="16" t="s">
        <v>343</v>
      </c>
      <c r="D237" s="16" t="s">
        <v>344</v>
      </c>
      <c r="E237" s="14" t="s">
        <v>161</v>
      </c>
      <c r="F237" s="15"/>
      <c r="G237" s="15">
        <v>17901000173</v>
      </c>
      <c r="H237" s="18">
        <v>46142</v>
      </c>
      <c r="I237" s="18">
        <v>46141</v>
      </c>
      <c r="J237" s="18">
        <v>46141</v>
      </c>
      <c r="K237" s="18">
        <v>46142</v>
      </c>
      <c r="L237" s="15">
        <v>1</v>
      </c>
      <c r="M237" s="14" t="s">
        <v>19</v>
      </c>
      <c r="N237" s="14" t="s">
        <v>157</v>
      </c>
      <c r="O237" s="20" t="s">
        <v>542</v>
      </c>
    </row>
    <row r="238" spans="1:15" ht="15.75" x14ac:dyDescent="0.25">
      <c r="A238" s="14">
        <v>237</v>
      </c>
      <c r="B238" s="15">
        <v>63001854</v>
      </c>
      <c r="C238" s="16" t="s">
        <v>280</v>
      </c>
      <c r="D238" s="16" t="s">
        <v>281</v>
      </c>
      <c r="E238" s="14" t="s">
        <v>161</v>
      </c>
      <c r="F238" s="15"/>
      <c r="G238" s="15">
        <v>708755000344</v>
      </c>
      <c r="H238" s="18">
        <v>46088</v>
      </c>
      <c r="I238" s="18">
        <v>46087</v>
      </c>
      <c r="J238" s="18">
        <v>46116</v>
      </c>
      <c r="K238" s="18">
        <v>46117</v>
      </c>
      <c r="L238" s="15">
        <v>30</v>
      </c>
      <c r="M238" s="14" t="s">
        <v>282</v>
      </c>
      <c r="N238" s="14" t="s">
        <v>165</v>
      </c>
      <c r="O238" s="20" t="s">
        <v>158</v>
      </c>
    </row>
    <row r="239" spans="1:15" ht="15.75" x14ac:dyDescent="0.25">
      <c r="A239" s="14">
        <v>238</v>
      </c>
      <c r="B239" s="15">
        <v>63001854</v>
      </c>
      <c r="C239" s="16" t="s">
        <v>280</v>
      </c>
      <c r="D239" s="16" t="s">
        <v>281</v>
      </c>
      <c r="E239" s="14" t="s">
        <v>161</v>
      </c>
      <c r="F239" s="15"/>
      <c r="G239" s="15">
        <v>708755000344</v>
      </c>
      <c r="H239" s="18">
        <v>46118</v>
      </c>
      <c r="I239" s="18">
        <v>46117</v>
      </c>
      <c r="J239" s="18">
        <v>46146</v>
      </c>
      <c r="K239" s="18">
        <v>46147</v>
      </c>
      <c r="L239" s="15">
        <v>30</v>
      </c>
      <c r="M239" s="14" t="s">
        <v>282</v>
      </c>
      <c r="N239" s="14" t="s">
        <v>165</v>
      </c>
      <c r="O239" s="20" t="s">
        <v>158</v>
      </c>
    </row>
    <row r="240" spans="1:15" ht="15.75" x14ac:dyDescent="0.25">
      <c r="A240" s="14">
        <v>239</v>
      </c>
      <c r="B240" s="15">
        <v>63001807</v>
      </c>
      <c r="C240" s="16" t="s">
        <v>241</v>
      </c>
      <c r="D240" s="16" t="s">
        <v>176</v>
      </c>
      <c r="E240" s="14" t="s">
        <v>155</v>
      </c>
      <c r="F240" s="15">
        <v>20</v>
      </c>
      <c r="G240" s="15">
        <v>973398000633</v>
      </c>
      <c r="H240" s="18">
        <v>46146</v>
      </c>
      <c r="I240" s="18">
        <v>46143</v>
      </c>
      <c r="J240" s="18">
        <v>46173</v>
      </c>
      <c r="K240" s="18">
        <v>46174</v>
      </c>
      <c r="L240" s="15">
        <v>31</v>
      </c>
      <c r="M240" s="14" t="s">
        <v>19</v>
      </c>
      <c r="N240" s="14" t="s">
        <v>165</v>
      </c>
      <c r="O240" s="20" t="s">
        <v>158</v>
      </c>
    </row>
    <row r="241" spans="1:15" ht="15.75" x14ac:dyDescent="0.25">
      <c r="A241" s="14">
        <v>240</v>
      </c>
      <c r="B241" s="15">
        <v>63001827</v>
      </c>
      <c r="C241" s="16" t="s">
        <v>179</v>
      </c>
      <c r="D241" s="16" t="s">
        <v>178</v>
      </c>
      <c r="E241" s="14" t="s">
        <v>155</v>
      </c>
      <c r="F241" s="15">
        <v>20</v>
      </c>
      <c r="G241" s="15">
        <v>670466005048</v>
      </c>
      <c r="H241" s="18">
        <v>46148</v>
      </c>
      <c r="I241" s="18">
        <v>46145</v>
      </c>
      <c r="J241" s="18">
        <v>46146</v>
      </c>
      <c r="K241" s="18">
        <v>46147</v>
      </c>
      <c r="L241" s="15">
        <v>2</v>
      </c>
      <c r="M241" s="14" t="s">
        <v>19</v>
      </c>
      <c r="N241" s="14" t="s">
        <v>157</v>
      </c>
      <c r="O241" s="20" t="s">
        <v>542</v>
      </c>
    </row>
    <row r="242" spans="1:15" ht="15.75" x14ac:dyDescent="0.25">
      <c r="A242" s="14">
        <v>241</v>
      </c>
      <c r="B242" s="15">
        <v>63001500</v>
      </c>
      <c r="C242" s="16" t="s">
        <v>186</v>
      </c>
      <c r="D242" s="16" t="s">
        <v>187</v>
      </c>
      <c r="E242" s="14" t="s">
        <v>155</v>
      </c>
      <c r="F242" s="15">
        <v>20</v>
      </c>
      <c r="G242" s="15">
        <v>850409004354</v>
      </c>
      <c r="H242" s="18">
        <v>46148</v>
      </c>
      <c r="I242" s="18">
        <v>46145</v>
      </c>
      <c r="J242" s="18">
        <v>46147</v>
      </c>
      <c r="K242" s="18">
        <v>46148</v>
      </c>
      <c r="L242" s="15">
        <v>3</v>
      </c>
      <c r="M242" s="14" t="s">
        <v>19</v>
      </c>
      <c r="N242" s="14" t="s">
        <v>157</v>
      </c>
      <c r="O242" s="20" t="s">
        <v>542</v>
      </c>
    </row>
    <row r="243" spans="1:15" ht="15.75" x14ac:dyDescent="0.25">
      <c r="A243" s="14">
        <v>242</v>
      </c>
      <c r="B243" s="15">
        <v>63001677</v>
      </c>
      <c r="C243" s="16" t="s">
        <v>345</v>
      </c>
      <c r="D243" s="16" t="s">
        <v>346</v>
      </c>
      <c r="E243" s="14" t="s">
        <v>161</v>
      </c>
      <c r="F243" s="15"/>
      <c r="G243" s="15">
        <v>932791003339</v>
      </c>
      <c r="H243" s="18">
        <v>46020</v>
      </c>
      <c r="I243" s="18">
        <v>46007</v>
      </c>
      <c r="J243" s="18">
        <v>46156</v>
      </c>
      <c r="K243" s="18">
        <v>46157</v>
      </c>
      <c r="L243" s="15">
        <v>150</v>
      </c>
      <c r="M243" s="14" t="s">
        <v>156</v>
      </c>
      <c r="N243" s="14" t="s">
        <v>157</v>
      </c>
      <c r="O243" s="20" t="s">
        <v>158</v>
      </c>
    </row>
    <row r="244" spans="1:15" ht="15.75" x14ac:dyDescent="0.25">
      <c r="A244" s="14">
        <v>243</v>
      </c>
      <c r="B244" s="15">
        <v>63001410</v>
      </c>
      <c r="C244" s="16" t="s">
        <v>347</v>
      </c>
      <c r="D244" s="16" t="s">
        <v>189</v>
      </c>
      <c r="E244" s="14" t="s">
        <v>155</v>
      </c>
      <c r="F244" s="15"/>
      <c r="G244" s="15">
        <v>850281028536</v>
      </c>
      <c r="H244" s="18">
        <v>46148</v>
      </c>
      <c r="I244" s="18">
        <v>46143</v>
      </c>
      <c r="J244" s="18">
        <v>46145</v>
      </c>
      <c r="K244" s="18">
        <v>46146</v>
      </c>
      <c r="L244" s="15">
        <v>3</v>
      </c>
      <c r="M244" s="14" t="s">
        <v>19</v>
      </c>
      <c r="N244" s="14" t="s">
        <v>157</v>
      </c>
      <c r="O244" s="20" t="s">
        <v>542</v>
      </c>
    </row>
    <row r="245" spans="1:15" ht="15.75" x14ac:dyDescent="0.25">
      <c r="A245" s="14">
        <v>244</v>
      </c>
      <c r="B245" s="15">
        <v>63001523</v>
      </c>
      <c r="C245" s="16" t="s">
        <v>348</v>
      </c>
      <c r="D245" s="16" t="s">
        <v>346</v>
      </c>
      <c r="E245" s="14" t="s">
        <v>161</v>
      </c>
      <c r="F245" s="15"/>
      <c r="G245" s="15">
        <v>880197033337</v>
      </c>
      <c r="H245" s="18">
        <v>46148</v>
      </c>
      <c r="I245" s="18">
        <v>46145</v>
      </c>
      <c r="J245" s="18">
        <v>46146</v>
      </c>
      <c r="K245" s="18">
        <v>46147</v>
      </c>
      <c r="L245" s="15">
        <v>2</v>
      </c>
      <c r="M245" s="14" t="s">
        <v>19</v>
      </c>
      <c r="N245" s="14" t="s">
        <v>157</v>
      </c>
      <c r="O245" s="20" t="s">
        <v>542</v>
      </c>
    </row>
    <row r="246" spans="1:15" ht="15.75" x14ac:dyDescent="0.25">
      <c r="A246" s="14">
        <v>245</v>
      </c>
      <c r="B246" s="15">
        <v>63001623</v>
      </c>
      <c r="C246" s="16" t="s">
        <v>200</v>
      </c>
      <c r="D246" s="16" t="s">
        <v>201</v>
      </c>
      <c r="E246" s="14" t="s">
        <v>161</v>
      </c>
      <c r="F246" s="15">
        <v>21</v>
      </c>
      <c r="G246" s="15">
        <v>921526006446</v>
      </c>
      <c r="H246" s="18">
        <v>46148</v>
      </c>
      <c r="I246" s="18">
        <v>46147</v>
      </c>
      <c r="J246" s="18">
        <v>46149</v>
      </c>
      <c r="K246" s="18">
        <v>46150</v>
      </c>
      <c r="L246" s="15">
        <v>3</v>
      </c>
      <c r="M246" s="14" t="s">
        <v>19</v>
      </c>
      <c r="N246" s="14" t="s">
        <v>157</v>
      </c>
      <c r="O246" s="20" t="s">
        <v>158</v>
      </c>
    </row>
    <row r="247" spans="1:15" ht="15.75" x14ac:dyDescent="0.25">
      <c r="A247" s="14">
        <v>246</v>
      </c>
      <c r="B247" s="15">
        <v>63001582</v>
      </c>
      <c r="C247" s="16" t="s">
        <v>349</v>
      </c>
      <c r="D247" s="16" t="s">
        <v>328</v>
      </c>
      <c r="E247" s="14" t="s">
        <v>155</v>
      </c>
      <c r="F247" s="15"/>
      <c r="G247" s="15">
        <v>900708008446</v>
      </c>
      <c r="H247" s="18">
        <v>46148</v>
      </c>
      <c r="I247" s="18">
        <v>46145</v>
      </c>
      <c r="J247" s="18">
        <v>46146</v>
      </c>
      <c r="K247" s="18">
        <v>46147</v>
      </c>
      <c r="L247" s="15">
        <v>2</v>
      </c>
      <c r="M247" s="14" t="s">
        <v>19</v>
      </c>
      <c r="N247" s="14" t="s">
        <v>157</v>
      </c>
      <c r="O247" s="20" t="s">
        <v>542</v>
      </c>
    </row>
    <row r="248" spans="1:15" ht="15.75" x14ac:dyDescent="0.25">
      <c r="A248" s="14">
        <v>247</v>
      </c>
      <c r="B248" s="15">
        <v>63001702</v>
      </c>
      <c r="C248" s="16" t="s">
        <v>338</v>
      </c>
      <c r="D248" s="16" t="s">
        <v>339</v>
      </c>
      <c r="E248" s="14"/>
      <c r="F248" s="15">
        <v>23</v>
      </c>
      <c r="G248" s="15">
        <v>920099035930</v>
      </c>
      <c r="H248" s="18">
        <v>46082</v>
      </c>
      <c r="I248" s="18">
        <v>46077</v>
      </c>
      <c r="J248" s="18">
        <v>46106</v>
      </c>
      <c r="K248" s="18">
        <v>46107</v>
      </c>
      <c r="L248" s="15">
        <v>30</v>
      </c>
      <c r="M248" s="14" t="s">
        <v>19</v>
      </c>
      <c r="N248" s="14" t="s">
        <v>157</v>
      </c>
      <c r="O248" s="20" t="s">
        <v>542</v>
      </c>
    </row>
    <row r="249" spans="1:15" ht="15.75" x14ac:dyDescent="0.25">
      <c r="A249" s="14">
        <v>248</v>
      </c>
      <c r="B249" s="15">
        <v>63001351</v>
      </c>
      <c r="C249" s="16" t="s">
        <v>222</v>
      </c>
      <c r="D249" s="16" t="s">
        <v>223</v>
      </c>
      <c r="E249" s="14" t="s">
        <v>155</v>
      </c>
      <c r="F249" s="15">
        <v>20</v>
      </c>
      <c r="G249" s="15">
        <v>930119003357</v>
      </c>
      <c r="H249" s="18">
        <v>46148</v>
      </c>
      <c r="I249" s="18">
        <v>46140</v>
      </c>
      <c r="J249" s="18">
        <v>46142</v>
      </c>
      <c r="K249" s="18">
        <v>46143</v>
      </c>
      <c r="L249" s="15">
        <v>3</v>
      </c>
      <c r="M249" s="14" t="s">
        <v>19</v>
      </c>
      <c r="N249" s="14" t="s">
        <v>157</v>
      </c>
      <c r="O249" s="20" t="s">
        <v>542</v>
      </c>
    </row>
    <row r="250" spans="1:15" ht="15.75" x14ac:dyDescent="0.25">
      <c r="A250" s="14">
        <v>249</v>
      </c>
      <c r="B250" s="15">
        <v>63010876</v>
      </c>
      <c r="C250" s="16" t="s">
        <v>350</v>
      </c>
      <c r="D250" s="16" t="s">
        <v>351</v>
      </c>
      <c r="E250" s="14" t="s">
        <v>161</v>
      </c>
      <c r="F250" s="15"/>
      <c r="G250" s="15">
        <v>715919000450</v>
      </c>
      <c r="H250" s="18">
        <v>46148</v>
      </c>
      <c r="I250" s="18">
        <v>46141</v>
      </c>
      <c r="J250" s="18">
        <v>46142</v>
      </c>
      <c r="K250" s="18">
        <v>46143</v>
      </c>
      <c r="L250" s="15">
        <v>2</v>
      </c>
      <c r="M250" s="14" t="s">
        <v>19</v>
      </c>
      <c r="N250" s="14" t="s">
        <v>157</v>
      </c>
      <c r="O250" s="20" t="s">
        <v>542</v>
      </c>
    </row>
    <row r="251" spans="1:15" ht="15.75" x14ac:dyDescent="0.25">
      <c r="A251" s="14">
        <v>250</v>
      </c>
      <c r="B251" s="15">
        <v>63036995</v>
      </c>
      <c r="C251" s="16" t="s">
        <v>352</v>
      </c>
      <c r="D251" s="16" t="s">
        <v>247</v>
      </c>
      <c r="E251" s="14" t="s">
        <v>155</v>
      </c>
      <c r="F251" s="15"/>
      <c r="G251" s="15">
        <v>33638000862</v>
      </c>
      <c r="H251" s="18">
        <v>46148</v>
      </c>
      <c r="I251" s="18">
        <v>46140</v>
      </c>
      <c r="J251" s="18">
        <v>46142</v>
      </c>
      <c r="K251" s="18">
        <v>46143</v>
      </c>
      <c r="L251" s="15">
        <v>3</v>
      </c>
      <c r="M251" s="14" t="s">
        <v>19</v>
      </c>
      <c r="N251" s="14" t="s">
        <v>157</v>
      </c>
      <c r="O251" s="20" t="s">
        <v>542</v>
      </c>
    </row>
    <row r="252" spans="1:15" ht="15.75" x14ac:dyDescent="0.25">
      <c r="A252" s="14">
        <v>251</v>
      </c>
      <c r="B252" s="15">
        <v>63037004</v>
      </c>
      <c r="C252" s="16" t="s">
        <v>237</v>
      </c>
      <c r="D252" s="16" t="s">
        <v>171</v>
      </c>
      <c r="E252" s="14" t="s">
        <v>155</v>
      </c>
      <c r="F252" s="15"/>
      <c r="G252" s="15">
        <v>30234025963</v>
      </c>
      <c r="H252" s="18">
        <v>46148</v>
      </c>
      <c r="I252" s="18">
        <v>46149</v>
      </c>
      <c r="J252" s="18">
        <v>46149</v>
      </c>
      <c r="K252" s="18">
        <v>46150</v>
      </c>
      <c r="L252" s="15">
        <v>1</v>
      </c>
      <c r="M252" s="14" t="s">
        <v>19</v>
      </c>
      <c r="N252" s="14" t="s">
        <v>157</v>
      </c>
      <c r="O252" s="20" t="s">
        <v>542</v>
      </c>
    </row>
    <row r="253" spans="1:15" ht="15.75" x14ac:dyDescent="0.25">
      <c r="A253" s="14">
        <v>252</v>
      </c>
      <c r="B253" s="15">
        <v>63013336</v>
      </c>
      <c r="C253" s="16" t="s">
        <v>353</v>
      </c>
      <c r="D253" s="16" t="s">
        <v>354</v>
      </c>
      <c r="E253" s="14" t="s">
        <v>161</v>
      </c>
      <c r="F253" s="15"/>
      <c r="G253" s="15">
        <v>910566004346</v>
      </c>
      <c r="H253" s="18">
        <v>46148</v>
      </c>
      <c r="I253" s="18">
        <v>46147</v>
      </c>
      <c r="J253" s="18">
        <v>46149</v>
      </c>
      <c r="K253" s="18">
        <v>46150</v>
      </c>
      <c r="L253" s="15">
        <v>3</v>
      </c>
      <c r="M253" s="14" t="s">
        <v>19</v>
      </c>
      <c r="N253" s="14" t="s">
        <v>157</v>
      </c>
      <c r="O253" s="20" t="s">
        <v>158</v>
      </c>
    </row>
    <row r="254" spans="1:15" ht="15.75" x14ac:dyDescent="0.25">
      <c r="A254" s="14">
        <v>253</v>
      </c>
      <c r="B254" s="15">
        <v>63001681</v>
      </c>
      <c r="C254" s="16" t="s">
        <v>355</v>
      </c>
      <c r="D254" s="16" t="s">
        <v>356</v>
      </c>
      <c r="E254" s="14" t="s">
        <v>161</v>
      </c>
      <c r="F254" s="15"/>
      <c r="G254" s="15">
        <v>910688004933</v>
      </c>
      <c r="H254" s="18">
        <v>46148</v>
      </c>
      <c r="I254" s="18">
        <v>46146</v>
      </c>
      <c r="J254" s="18">
        <v>46146</v>
      </c>
      <c r="K254" s="18">
        <v>46147</v>
      </c>
      <c r="L254" s="15">
        <v>1</v>
      </c>
      <c r="M254" s="14" t="s">
        <v>19</v>
      </c>
      <c r="N254" s="14" t="s">
        <v>157</v>
      </c>
      <c r="O254" s="20" t="s">
        <v>542</v>
      </c>
    </row>
    <row r="255" spans="1:15" ht="15.75" x14ac:dyDescent="0.25">
      <c r="A255" s="14">
        <v>254</v>
      </c>
      <c r="B255" s="15">
        <v>63001523</v>
      </c>
      <c r="C255" s="16" t="s">
        <v>348</v>
      </c>
      <c r="D255" s="16" t="s">
        <v>346</v>
      </c>
      <c r="E255" s="14" t="s">
        <v>161</v>
      </c>
      <c r="F255" s="15"/>
      <c r="G255" s="15">
        <v>880197033337</v>
      </c>
      <c r="H255" s="18">
        <v>46149</v>
      </c>
      <c r="I255" s="18">
        <v>46147</v>
      </c>
      <c r="J255" s="18">
        <v>46147</v>
      </c>
      <c r="K255" s="18">
        <v>46148</v>
      </c>
      <c r="L255" s="15">
        <v>1</v>
      </c>
      <c r="M255" s="14" t="s">
        <v>19</v>
      </c>
      <c r="N255" s="14" t="s">
        <v>157</v>
      </c>
      <c r="O255" s="20" t="s">
        <v>542</v>
      </c>
    </row>
    <row r="256" spans="1:15" ht="15.75" x14ac:dyDescent="0.25">
      <c r="A256" s="14">
        <v>255</v>
      </c>
      <c r="B256" s="15">
        <v>63001702</v>
      </c>
      <c r="C256" s="16" t="s">
        <v>338</v>
      </c>
      <c r="D256" s="16" t="s">
        <v>339</v>
      </c>
      <c r="E256" s="14" t="s">
        <v>161</v>
      </c>
      <c r="F256" s="15">
        <v>23</v>
      </c>
      <c r="G256" s="15">
        <v>920099035930</v>
      </c>
      <c r="H256" s="18">
        <v>46105</v>
      </c>
      <c r="I256" s="18">
        <v>46107</v>
      </c>
      <c r="J256" s="18">
        <v>46136</v>
      </c>
      <c r="K256" s="18">
        <v>46137</v>
      </c>
      <c r="L256" s="15">
        <v>30</v>
      </c>
      <c r="M256" s="14" t="s">
        <v>19</v>
      </c>
      <c r="N256" s="14" t="s">
        <v>157</v>
      </c>
      <c r="O256" s="20" t="s">
        <v>542</v>
      </c>
    </row>
    <row r="257" spans="1:15" ht="15.75" x14ac:dyDescent="0.25">
      <c r="A257" s="14">
        <v>256</v>
      </c>
      <c r="B257" s="15">
        <v>63036917</v>
      </c>
      <c r="C257" s="16" t="s">
        <v>357</v>
      </c>
      <c r="D257" s="16" t="s">
        <v>178</v>
      </c>
      <c r="E257" s="14" t="s">
        <v>155</v>
      </c>
      <c r="F257" s="15"/>
      <c r="G257" s="15">
        <v>20430006273</v>
      </c>
      <c r="H257" s="18">
        <v>46149</v>
      </c>
      <c r="I257" s="18">
        <v>46147</v>
      </c>
      <c r="J257" s="18">
        <v>46147</v>
      </c>
      <c r="K257" s="18">
        <v>46148</v>
      </c>
      <c r="L257" s="15">
        <v>1</v>
      </c>
      <c r="M257" s="14" t="s">
        <v>19</v>
      </c>
      <c r="N257" s="14" t="s">
        <v>157</v>
      </c>
      <c r="O257" s="20" t="s">
        <v>542</v>
      </c>
    </row>
    <row r="258" spans="1:15" ht="15.75" x14ac:dyDescent="0.25">
      <c r="A258" s="14">
        <v>257</v>
      </c>
      <c r="B258" s="15">
        <v>63001716</v>
      </c>
      <c r="C258" s="16" t="s">
        <v>253</v>
      </c>
      <c r="D258" s="16" t="s">
        <v>254</v>
      </c>
      <c r="E258" s="14" t="s">
        <v>155</v>
      </c>
      <c r="F258" s="15">
        <v>18</v>
      </c>
      <c r="G258" s="15">
        <v>953136001550</v>
      </c>
      <c r="H258" s="18">
        <v>46152</v>
      </c>
      <c r="I258" s="18">
        <v>46149</v>
      </c>
      <c r="J258" s="18">
        <v>46149</v>
      </c>
      <c r="K258" s="18">
        <v>46150</v>
      </c>
      <c r="L258" s="15">
        <v>1</v>
      </c>
      <c r="M258" s="14" t="s">
        <v>19</v>
      </c>
      <c r="N258" s="14" t="s">
        <v>157</v>
      </c>
      <c r="O258" s="20" t="s">
        <v>542</v>
      </c>
    </row>
    <row r="259" spans="1:15" ht="15.75" x14ac:dyDescent="0.25">
      <c r="A259" s="14">
        <v>258</v>
      </c>
      <c r="B259" s="15">
        <v>63001873</v>
      </c>
      <c r="C259" s="16" t="s">
        <v>358</v>
      </c>
      <c r="D259" s="16" t="s">
        <v>359</v>
      </c>
      <c r="E259" s="14" t="s">
        <v>161</v>
      </c>
      <c r="F259" s="15"/>
      <c r="G259" s="15">
        <v>725088000643</v>
      </c>
      <c r="H259" s="18">
        <v>46152</v>
      </c>
      <c r="I259" s="18">
        <v>46150</v>
      </c>
      <c r="J259" s="18">
        <v>46150</v>
      </c>
      <c r="K259" s="18">
        <v>46151</v>
      </c>
      <c r="L259" s="15">
        <v>1</v>
      </c>
      <c r="M259" s="14" t="s">
        <v>19</v>
      </c>
      <c r="N259" s="14" t="s">
        <v>157</v>
      </c>
      <c r="O259" s="20" t="s">
        <v>542</v>
      </c>
    </row>
    <row r="260" spans="1:15" ht="15.75" x14ac:dyDescent="0.25">
      <c r="A260" s="14">
        <v>259</v>
      </c>
      <c r="B260" s="15">
        <v>63001356</v>
      </c>
      <c r="C260" s="16" t="s">
        <v>360</v>
      </c>
      <c r="D260" s="16" t="s">
        <v>361</v>
      </c>
      <c r="E260" s="14" t="s">
        <v>161</v>
      </c>
      <c r="F260" s="15"/>
      <c r="G260" s="15">
        <v>847224000352</v>
      </c>
      <c r="H260" s="18">
        <v>46152</v>
      </c>
      <c r="I260" s="18">
        <v>46152</v>
      </c>
      <c r="J260" s="18">
        <v>46159</v>
      </c>
      <c r="K260" s="18">
        <v>46160</v>
      </c>
      <c r="L260" s="15">
        <v>8</v>
      </c>
      <c r="M260" s="14" t="s">
        <v>19</v>
      </c>
      <c r="N260" s="14" t="s">
        <v>157</v>
      </c>
      <c r="O260" s="20" t="s">
        <v>542</v>
      </c>
    </row>
    <row r="261" spans="1:15" ht="15.75" x14ac:dyDescent="0.25">
      <c r="A261" s="14">
        <v>260</v>
      </c>
      <c r="B261" s="15">
        <v>63001636</v>
      </c>
      <c r="C261" s="16" t="s">
        <v>362</v>
      </c>
      <c r="D261" s="16" t="s">
        <v>363</v>
      </c>
      <c r="E261" s="14" t="s">
        <v>161</v>
      </c>
      <c r="F261" s="15"/>
      <c r="G261" s="15">
        <v>900264014054</v>
      </c>
      <c r="H261" s="18">
        <v>46152</v>
      </c>
      <c r="I261" s="18">
        <v>46145</v>
      </c>
      <c r="J261" s="18">
        <v>46159</v>
      </c>
      <c r="K261" s="18">
        <v>46160</v>
      </c>
      <c r="L261" s="15">
        <v>15</v>
      </c>
      <c r="M261" s="14" t="s">
        <v>19</v>
      </c>
      <c r="N261" s="14" t="s">
        <v>157</v>
      </c>
      <c r="O261" s="20" t="s">
        <v>542</v>
      </c>
    </row>
    <row r="262" spans="1:15" ht="15.75" x14ac:dyDescent="0.25">
      <c r="A262" s="14">
        <v>261</v>
      </c>
      <c r="B262" s="15">
        <v>63001351</v>
      </c>
      <c r="C262" s="16" t="s">
        <v>222</v>
      </c>
      <c r="D262" s="16" t="s">
        <v>223</v>
      </c>
      <c r="E262" s="14" t="s">
        <v>155</v>
      </c>
      <c r="F262" s="15">
        <v>20</v>
      </c>
      <c r="G262" s="15">
        <v>930119003357</v>
      </c>
      <c r="H262" s="18">
        <v>46153</v>
      </c>
      <c r="I262" s="18">
        <v>46152</v>
      </c>
      <c r="J262" s="18">
        <v>46166</v>
      </c>
      <c r="K262" s="18">
        <v>46167</v>
      </c>
      <c r="L262" s="15">
        <v>15</v>
      </c>
      <c r="M262" s="14" t="s">
        <v>19</v>
      </c>
      <c r="N262" s="14" t="s">
        <v>157</v>
      </c>
      <c r="O262" s="20" t="s">
        <v>542</v>
      </c>
    </row>
    <row r="263" spans="1:15" ht="15.75" x14ac:dyDescent="0.25">
      <c r="A263" s="14">
        <v>262</v>
      </c>
      <c r="B263" s="15">
        <v>63001563</v>
      </c>
      <c r="C263" s="16" t="s">
        <v>311</v>
      </c>
      <c r="D263" s="16" t="s">
        <v>199</v>
      </c>
      <c r="E263" s="14" t="s">
        <v>161</v>
      </c>
      <c r="F263" s="15"/>
      <c r="G263" s="15">
        <v>920314016552</v>
      </c>
      <c r="H263" s="18">
        <v>46153</v>
      </c>
      <c r="I263" s="18">
        <v>46151</v>
      </c>
      <c r="J263" s="18">
        <v>46153</v>
      </c>
      <c r="K263" s="18">
        <v>46154</v>
      </c>
      <c r="L263" s="15">
        <v>3</v>
      </c>
      <c r="M263" s="14" t="s">
        <v>19</v>
      </c>
      <c r="N263" s="14" t="s">
        <v>157</v>
      </c>
      <c r="O263" s="20" t="s">
        <v>542</v>
      </c>
    </row>
    <row r="264" spans="1:15" ht="15.75" x14ac:dyDescent="0.25">
      <c r="A264" s="14">
        <v>263</v>
      </c>
      <c r="B264" s="15">
        <v>63001518</v>
      </c>
      <c r="C264" s="16" t="s">
        <v>256</v>
      </c>
      <c r="D264" s="16" t="s">
        <v>257</v>
      </c>
      <c r="E264" s="14" t="s">
        <v>155</v>
      </c>
      <c r="F264" s="15"/>
      <c r="G264" s="15">
        <v>920651011653</v>
      </c>
      <c r="H264" s="18">
        <v>46153</v>
      </c>
      <c r="I264" s="18">
        <v>46152</v>
      </c>
      <c r="J264" s="18">
        <v>46154</v>
      </c>
      <c r="K264" s="18">
        <v>46155</v>
      </c>
      <c r="L264" s="15">
        <v>3</v>
      </c>
      <c r="M264" s="14" t="s">
        <v>19</v>
      </c>
      <c r="N264" s="14" t="s">
        <v>157</v>
      </c>
      <c r="O264" s="20" t="s">
        <v>542</v>
      </c>
    </row>
    <row r="265" spans="1:15" ht="15.75" x14ac:dyDescent="0.25">
      <c r="A265" s="14">
        <v>264</v>
      </c>
      <c r="B265" s="15">
        <v>63001564</v>
      </c>
      <c r="C265" s="16" t="s">
        <v>232</v>
      </c>
      <c r="D265" s="16" t="s">
        <v>178</v>
      </c>
      <c r="E265" s="14" t="s">
        <v>155</v>
      </c>
      <c r="F265" s="15"/>
      <c r="G265" s="15">
        <v>899924000138</v>
      </c>
      <c r="H265" s="18">
        <v>46154</v>
      </c>
      <c r="I265" s="18">
        <v>46152</v>
      </c>
      <c r="J265" s="18">
        <v>46152</v>
      </c>
      <c r="K265" s="18">
        <v>46153</v>
      </c>
      <c r="L265" s="15">
        <v>1</v>
      </c>
      <c r="M265" s="14" t="s">
        <v>19</v>
      </c>
      <c r="N265" s="14" t="s">
        <v>157</v>
      </c>
      <c r="O265" s="20" t="s">
        <v>542</v>
      </c>
    </row>
    <row r="266" spans="1:15" ht="15.75" x14ac:dyDescent="0.25">
      <c r="A266" s="14">
        <v>265</v>
      </c>
      <c r="B266" s="15">
        <v>63001459</v>
      </c>
      <c r="C266" s="16" t="s">
        <v>202</v>
      </c>
      <c r="D266" s="16" t="s">
        <v>203</v>
      </c>
      <c r="E266" s="14" t="s">
        <v>155</v>
      </c>
      <c r="F266" s="15">
        <v>20</v>
      </c>
      <c r="G266" s="15">
        <v>910027029049</v>
      </c>
      <c r="H266" s="18">
        <v>46154</v>
      </c>
      <c r="I266" s="18">
        <v>46153</v>
      </c>
      <c r="J266" s="18">
        <v>46153</v>
      </c>
      <c r="K266" s="18">
        <v>46154</v>
      </c>
      <c r="L266" s="15">
        <v>1</v>
      </c>
      <c r="M266" s="14" t="s">
        <v>19</v>
      </c>
      <c r="N266" s="14" t="s">
        <v>157</v>
      </c>
      <c r="O266" s="20" t="s">
        <v>542</v>
      </c>
    </row>
    <row r="267" spans="1:15" ht="15.75" x14ac:dyDescent="0.25">
      <c r="A267" s="14">
        <v>266</v>
      </c>
      <c r="B267" s="15">
        <v>63012526</v>
      </c>
      <c r="C267" s="16" t="s">
        <v>271</v>
      </c>
      <c r="D267" s="16" t="s">
        <v>272</v>
      </c>
      <c r="E267" s="14" t="s">
        <v>161</v>
      </c>
      <c r="F267" s="15"/>
      <c r="G267" s="15">
        <v>928199000233</v>
      </c>
      <c r="H267" s="18">
        <v>46154</v>
      </c>
      <c r="I267" s="18">
        <v>46153</v>
      </c>
      <c r="J267" s="18">
        <v>46302</v>
      </c>
      <c r="K267" s="18">
        <v>46303</v>
      </c>
      <c r="L267" s="15">
        <v>150</v>
      </c>
      <c r="M267" s="14" t="s">
        <v>156</v>
      </c>
      <c r="N267" s="14" t="s">
        <v>157</v>
      </c>
      <c r="O267" s="20" t="s">
        <v>158</v>
      </c>
    </row>
    <row r="268" spans="1:15" ht="15.75" x14ac:dyDescent="0.25">
      <c r="A268" s="14">
        <v>267</v>
      </c>
      <c r="B268" s="15">
        <v>63036962</v>
      </c>
      <c r="C268" s="16" t="s">
        <v>274</v>
      </c>
      <c r="D268" s="16" t="s">
        <v>275</v>
      </c>
      <c r="E268" s="14" t="s">
        <v>161</v>
      </c>
      <c r="F268" s="15"/>
      <c r="G268" s="15">
        <v>970096007630</v>
      </c>
      <c r="H268" s="18">
        <v>46159</v>
      </c>
      <c r="I268" s="18">
        <v>46156</v>
      </c>
      <c r="J268" s="18">
        <v>46156</v>
      </c>
      <c r="K268" s="18">
        <v>46157</v>
      </c>
      <c r="L268" s="15">
        <v>1</v>
      </c>
      <c r="M268" s="14" t="s">
        <v>19</v>
      </c>
      <c r="N268" s="14" t="s">
        <v>157</v>
      </c>
      <c r="O268" s="20" t="s">
        <v>542</v>
      </c>
    </row>
    <row r="269" spans="1:15" ht="15.75" x14ac:dyDescent="0.25">
      <c r="A269" s="14">
        <v>268</v>
      </c>
      <c r="B269" s="15">
        <v>63001827</v>
      </c>
      <c r="C269" s="16" t="s">
        <v>179</v>
      </c>
      <c r="D269" s="16" t="s">
        <v>178</v>
      </c>
      <c r="E269" s="14" t="s">
        <v>155</v>
      </c>
      <c r="F269" s="15">
        <v>20</v>
      </c>
      <c r="G269" s="15">
        <v>670466005048</v>
      </c>
      <c r="H269" s="18">
        <v>46159</v>
      </c>
      <c r="I269" s="18">
        <v>46153</v>
      </c>
      <c r="J269" s="18">
        <v>46154</v>
      </c>
      <c r="K269" s="18">
        <v>46155</v>
      </c>
      <c r="L269" s="15">
        <v>2</v>
      </c>
      <c r="M269" s="14" t="s">
        <v>19</v>
      </c>
      <c r="N269" s="14" t="s">
        <v>157</v>
      </c>
      <c r="O269" s="20" t="s">
        <v>542</v>
      </c>
    </row>
    <row r="270" spans="1:15" ht="15.75" x14ac:dyDescent="0.25">
      <c r="A270" s="14">
        <v>269</v>
      </c>
      <c r="B270" s="15">
        <v>63001702</v>
      </c>
      <c r="C270" s="16" t="s">
        <v>338</v>
      </c>
      <c r="D270" s="16" t="s">
        <v>339</v>
      </c>
      <c r="E270" s="14"/>
      <c r="F270" s="15">
        <v>23</v>
      </c>
      <c r="G270" s="15">
        <v>920099035930</v>
      </c>
      <c r="H270" s="18">
        <v>46142</v>
      </c>
      <c r="I270" s="18">
        <v>46137</v>
      </c>
      <c r="J270" s="18">
        <v>46167</v>
      </c>
      <c r="K270" s="18">
        <v>46168</v>
      </c>
      <c r="L270" s="15">
        <v>31</v>
      </c>
      <c r="M270" s="14" t="s">
        <v>19</v>
      </c>
      <c r="N270" s="14" t="s">
        <v>157</v>
      </c>
      <c r="O270" s="20" t="s">
        <v>542</v>
      </c>
    </row>
    <row r="271" spans="1:15" ht="15.75" x14ac:dyDescent="0.25">
      <c r="A271" s="14">
        <v>270</v>
      </c>
      <c r="B271" s="15">
        <v>63001493</v>
      </c>
      <c r="C271" s="16" t="s">
        <v>172</v>
      </c>
      <c r="D271" s="16" t="s">
        <v>173</v>
      </c>
      <c r="E271" s="14" t="s">
        <v>161</v>
      </c>
      <c r="F271" s="15"/>
      <c r="G271" s="15">
        <v>822591003344</v>
      </c>
      <c r="H271" s="18">
        <v>46161</v>
      </c>
      <c r="I271" s="18">
        <v>46159</v>
      </c>
      <c r="J271" s="18">
        <v>46159</v>
      </c>
      <c r="K271" s="18">
        <v>46160</v>
      </c>
      <c r="L271" s="15">
        <v>1</v>
      </c>
      <c r="M271" s="14" t="s">
        <v>19</v>
      </c>
      <c r="N271" s="14" t="s">
        <v>157</v>
      </c>
      <c r="O271" s="20" t="s">
        <v>542</v>
      </c>
    </row>
    <row r="272" spans="1:15" ht="15.75" x14ac:dyDescent="0.25">
      <c r="A272" s="14">
        <v>271</v>
      </c>
      <c r="B272" s="15">
        <v>63001356</v>
      </c>
      <c r="C272" s="16" t="s">
        <v>360</v>
      </c>
      <c r="D272" s="16" t="s">
        <v>361</v>
      </c>
      <c r="E272" s="14" t="s">
        <v>161</v>
      </c>
      <c r="F272" s="15"/>
      <c r="G272" s="15">
        <v>847224000352</v>
      </c>
      <c r="H272" s="18">
        <v>46161</v>
      </c>
      <c r="I272" s="18">
        <v>46160</v>
      </c>
      <c r="J272" s="18">
        <v>46167</v>
      </c>
      <c r="K272" s="18">
        <v>46168</v>
      </c>
      <c r="L272" s="15">
        <v>8</v>
      </c>
      <c r="M272" s="14" t="s">
        <v>19</v>
      </c>
      <c r="N272" s="14" t="s">
        <v>157</v>
      </c>
      <c r="O272" s="20" t="s">
        <v>542</v>
      </c>
    </row>
    <row r="273" spans="1:15" ht="15.75" x14ac:dyDescent="0.25">
      <c r="A273" s="14">
        <v>272</v>
      </c>
      <c r="B273" s="15">
        <v>63001636</v>
      </c>
      <c r="C273" s="16" t="s">
        <v>362</v>
      </c>
      <c r="D273" s="16" t="s">
        <v>363</v>
      </c>
      <c r="E273" s="14" t="s">
        <v>161</v>
      </c>
      <c r="F273" s="15"/>
      <c r="G273" s="15">
        <v>900264014054</v>
      </c>
      <c r="H273" s="18">
        <v>46161</v>
      </c>
      <c r="I273" s="18">
        <v>46160</v>
      </c>
      <c r="J273" s="18">
        <v>46174</v>
      </c>
      <c r="K273" s="18">
        <v>46175</v>
      </c>
      <c r="L273" s="15">
        <v>15</v>
      </c>
      <c r="M273" s="14" t="s">
        <v>19</v>
      </c>
      <c r="N273" s="14" t="s">
        <v>157</v>
      </c>
      <c r="O273" s="20" t="s">
        <v>542</v>
      </c>
    </row>
    <row r="274" spans="1:15" ht="15.75" x14ac:dyDescent="0.25">
      <c r="A274" s="14">
        <v>273</v>
      </c>
      <c r="B274" s="15">
        <v>63043576</v>
      </c>
      <c r="C274" s="16" t="s">
        <v>288</v>
      </c>
      <c r="D274" s="16"/>
      <c r="E274" s="14"/>
      <c r="F274" s="15"/>
      <c r="G274" s="15">
        <v>21623001872</v>
      </c>
      <c r="H274" s="18">
        <v>46161</v>
      </c>
      <c r="I274" s="18">
        <v>46159</v>
      </c>
      <c r="J274" s="18">
        <v>46159</v>
      </c>
      <c r="K274" s="18">
        <v>46160</v>
      </c>
      <c r="L274" s="15">
        <v>1</v>
      </c>
      <c r="M274" s="14" t="s">
        <v>19</v>
      </c>
      <c r="N274" s="14" t="s">
        <v>157</v>
      </c>
      <c r="O274" s="20" t="s">
        <v>542</v>
      </c>
    </row>
    <row r="275" spans="1:15" ht="15.75" x14ac:dyDescent="0.25">
      <c r="A275" s="14">
        <v>274</v>
      </c>
      <c r="B275" s="15">
        <v>63001537</v>
      </c>
      <c r="C275" s="16" t="s">
        <v>331</v>
      </c>
      <c r="D275" s="16" t="s">
        <v>167</v>
      </c>
      <c r="E275" s="14" t="s">
        <v>161</v>
      </c>
      <c r="F275" s="15"/>
      <c r="G275" s="15">
        <v>870155038339</v>
      </c>
      <c r="H275" s="18">
        <v>46161</v>
      </c>
      <c r="I275" s="18">
        <v>46160</v>
      </c>
      <c r="J275" s="18">
        <v>46160</v>
      </c>
      <c r="K275" s="18">
        <v>46161</v>
      </c>
      <c r="L275" s="15">
        <v>1</v>
      </c>
      <c r="M275" s="14" t="s">
        <v>19</v>
      </c>
      <c r="N275" s="14" t="s">
        <v>157</v>
      </c>
      <c r="O275" s="20" t="s">
        <v>542</v>
      </c>
    </row>
    <row r="276" spans="1:15" ht="15.75" x14ac:dyDescent="0.25">
      <c r="A276" s="14">
        <v>275</v>
      </c>
      <c r="B276" s="15">
        <v>63001364</v>
      </c>
      <c r="C276" s="16" t="s">
        <v>364</v>
      </c>
      <c r="D276" s="16" t="s">
        <v>365</v>
      </c>
      <c r="E276" s="14" t="s">
        <v>155</v>
      </c>
      <c r="F276" s="15"/>
      <c r="G276" s="15">
        <v>840593011842</v>
      </c>
      <c r="H276" s="18">
        <v>46162</v>
      </c>
      <c r="I276" s="18">
        <v>46161</v>
      </c>
      <c r="J276" s="18">
        <v>46161</v>
      </c>
      <c r="K276" s="18">
        <v>46162</v>
      </c>
      <c r="L276" s="15">
        <v>1</v>
      </c>
      <c r="M276" s="14" t="s">
        <v>19</v>
      </c>
      <c r="N276" s="14" t="s">
        <v>157</v>
      </c>
      <c r="O276" s="20" t="s">
        <v>542</v>
      </c>
    </row>
    <row r="277" spans="1:15" ht="15.75" x14ac:dyDescent="0.25">
      <c r="A277" s="14">
        <v>276</v>
      </c>
      <c r="B277" s="15">
        <v>63013900</v>
      </c>
      <c r="C277" s="16" t="s">
        <v>366</v>
      </c>
      <c r="D277" s="16" t="s">
        <v>367</v>
      </c>
      <c r="E277" s="14" t="s">
        <v>161</v>
      </c>
      <c r="F277" s="15"/>
      <c r="G277" s="15">
        <v>846141000255</v>
      </c>
      <c r="H277" s="18">
        <v>46162</v>
      </c>
      <c r="I277" s="18">
        <v>46162</v>
      </c>
      <c r="J277" s="18">
        <v>46163</v>
      </c>
      <c r="K277" s="18">
        <v>46164</v>
      </c>
      <c r="L277" s="15">
        <v>2</v>
      </c>
      <c r="M277" s="14" t="s">
        <v>19</v>
      </c>
      <c r="N277" s="14" t="s">
        <v>157</v>
      </c>
      <c r="O277" s="20" t="s">
        <v>542</v>
      </c>
    </row>
    <row r="278" spans="1:15" ht="15.75" x14ac:dyDescent="0.25">
      <c r="A278" s="14">
        <v>277</v>
      </c>
      <c r="B278" s="15">
        <v>63001889</v>
      </c>
      <c r="C278" s="16" t="s">
        <v>233</v>
      </c>
      <c r="D278" s="16" t="s">
        <v>234</v>
      </c>
      <c r="E278" s="14" t="s">
        <v>161</v>
      </c>
      <c r="F278" s="15">
        <v>24</v>
      </c>
      <c r="G278" s="15">
        <v>710821004261</v>
      </c>
      <c r="H278" s="18">
        <v>46163</v>
      </c>
      <c r="I278" s="18">
        <v>46160</v>
      </c>
      <c r="J278" s="18">
        <v>46162</v>
      </c>
      <c r="K278" s="18">
        <v>46163</v>
      </c>
      <c r="L278" s="15">
        <v>3</v>
      </c>
      <c r="M278" s="14" t="s">
        <v>19</v>
      </c>
      <c r="N278" s="14" t="s">
        <v>157</v>
      </c>
      <c r="O278" s="20" t="s">
        <v>542</v>
      </c>
    </row>
    <row r="279" spans="1:15" ht="15.75" x14ac:dyDescent="0.25">
      <c r="A279" s="14">
        <v>278</v>
      </c>
      <c r="B279" s="15">
        <v>63001563</v>
      </c>
      <c r="C279" s="16" t="s">
        <v>311</v>
      </c>
      <c r="D279" s="16" t="s">
        <v>199</v>
      </c>
      <c r="E279" s="14" t="s">
        <v>161</v>
      </c>
      <c r="F279" s="15"/>
      <c r="G279" s="15">
        <v>920314016552</v>
      </c>
      <c r="H279" s="18">
        <v>46163</v>
      </c>
      <c r="I279" s="18">
        <v>46159</v>
      </c>
      <c r="J279" s="18">
        <v>46173</v>
      </c>
      <c r="K279" s="18">
        <v>46174</v>
      </c>
      <c r="L279" s="15">
        <v>15</v>
      </c>
      <c r="M279" s="14" t="s">
        <v>19</v>
      </c>
      <c r="N279" s="14" t="s">
        <v>157</v>
      </c>
      <c r="O279" s="20" t="s">
        <v>542</v>
      </c>
    </row>
    <row r="280" spans="1:15" ht="15.75" x14ac:dyDescent="0.25">
      <c r="A280" s="14">
        <v>279</v>
      </c>
      <c r="B280" s="15">
        <v>63001641</v>
      </c>
      <c r="C280" s="16" t="s">
        <v>368</v>
      </c>
      <c r="D280" s="16" t="s">
        <v>369</v>
      </c>
      <c r="E280" s="14" t="s">
        <v>155</v>
      </c>
      <c r="F280" s="15"/>
      <c r="G280" s="15">
        <v>932408003551</v>
      </c>
      <c r="H280" s="18">
        <v>46163</v>
      </c>
      <c r="I280" s="18">
        <v>46162</v>
      </c>
      <c r="J280" s="18">
        <v>46163</v>
      </c>
      <c r="K280" s="18">
        <v>46164</v>
      </c>
      <c r="L280" s="15">
        <v>2</v>
      </c>
      <c r="M280" s="14" t="s">
        <v>19</v>
      </c>
      <c r="N280" s="14" t="s">
        <v>157</v>
      </c>
      <c r="O280" s="20" t="s">
        <v>542</v>
      </c>
    </row>
    <row r="281" spans="1:15" ht="15.75" x14ac:dyDescent="0.25">
      <c r="A281" s="14">
        <v>280</v>
      </c>
      <c r="B281" s="15">
        <v>63001718</v>
      </c>
      <c r="C281" s="16" t="s">
        <v>248</v>
      </c>
      <c r="D281" s="16" t="s">
        <v>249</v>
      </c>
      <c r="E281" s="14" t="s">
        <v>155</v>
      </c>
      <c r="F281" s="15"/>
      <c r="G281" s="15">
        <v>920121037452</v>
      </c>
      <c r="H281" s="18">
        <v>46173</v>
      </c>
      <c r="I281" s="18">
        <v>46167</v>
      </c>
      <c r="J281" s="18">
        <v>46167</v>
      </c>
      <c r="K281" s="18">
        <v>46168</v>
      </c>
      <c r="L281" s="15">
        <v>1</v>
      </c>
      <c r="M281" s="14" t="s">
        <v>19</v>
      </c>
      <c r="N281" s="14" t="s">
        <v>157</v>
      </c>
      <c r="O281" s="20" t="s">
        <v>542</v>
      </c>
    </row>
    <row r="282" spans="1:15" ht="15.75" x14ac:dyDescent="0.25">
      <c r="A282" s="14">
        <v>281</v>
      </c>
      <c r="B282" s="15">
        <v>63001788</v>
      </c>
      <c r="C282" s="16" t="s">
        <v>276</v>
      </c>
      <c r="D282" s="16" t="s">
        <v>277</v>
      </c>
      <c r="E282" s="14" t="s">
        <v>155</v>
      </c>
      <c r="F282" s="15">
        <v>18</v>
      </c>
      <c r="G282" s="15">
        <v>872863000445</v>
      </c>
      <c r="H282" s="18">
        <v>46173</v>
      </c>
      <c r="I282" s="18">
        <v>46172</v>
      </c>
      <c r="J282" s="18">
        <v>46201</v>
      </c>
      <c r="K282" s="18">
        <v>46202</v>
      </c>
      <c r="L282" s="15">
        <v>30</v>
      </c>
      <c r="M282" s="14" t="s">
        <v>19</v>
      </c>
      <c r="N282" s="14" t="s">
        <v>165</v>
      </c>
      <c r="O282" s="20" t="s">
        <v>158</v>
      </c>
    </row>
    <row r="283" spans="1:15" ht="15.75" x14ac:dyDescent="0.25">
      <c r="A283" s="14">
        <v>282</v>
      </c>
      <c r="B283" s="15">
        <v>63001804</v>
      </c>
      <c r="C283" s="16" t="s">
        <v>321</v>
      </c>
      <c r="D283" s="16" t="s">
        <v>176</v>
      </c>
      <c r="E283" s="14" t="s">
        <v>155</v>
      </c>
      <c r="F283" s="15"/>
      <c r="G283" s="15">
        <v>965484000635</v>
      </c>
      <c r="H283" s="18">
        <v>46173</v>
      </c>
      <c r="I283" s="18">
        <v>46166</v>
      </c>
      <c r="J283" s="18">
        <v>46166</v>
      </c>
      <c r="K283" s="18">
        <v>46167</v>
      </c>
      <c r="L283" s="15">
        <v>1</v>
      </c>
      <c r="M283" s="14" t="s">
        <v>19</v>
      </c>
      <c r="N283" s="14" t="s">
        <v>157</v>
      </c>
      <c r="O283" s="20" t="s">
        <v>542</v>
      </c>
    </row>
    <row r="284" spans="1:15" ht="15.75" x14ac:dyDescent="0.25">
      <c r="A284" s="14">
        <v>283</v>
      </c>
      <c r="B284" s="15">
        <v>63001698</v>
      </c>
      <c r="C284" s="16" t="s">
        <v>182</v>
      </c>
      <c r="D284" s="16" t="s">
        <v>183</v>
      </c>
      <c r="E284" s="14" t="s">
        <v>161</v>
      </c>
      <c r="F284" s="15">
        <v>22</v>
      </c>
      <c r="G284" s="15">
        <v>910461009738</v>
      </c>
      <c r="H284" s="18">
        <v>46173</v>
      </c>
      <c r="I284" s="18">
        <v>46165</v>
      </c>
      <c r="J284" s="18">
        <v>46181</v>
      </c>
      <c r="K284" s="18">
        <v>46182</v>
      </c>
      <c r="L284" s="15">
        <v>17</v>
      </c>
      <c r="M284" s="14" t="s">
        <v>19</v>
      </c>
      <c r="N284" s="14" t="s">
        <v>165</v>
      </c>
      <c r="O284" s="20" t="s">
        <v>158</v>
      </c>
    </row>
    <row r="285" spans="1:15" ht="15.75" x14ac:dyDescent="0.25">
      <c r="A285" s="14">
        <v>284</v>
      </c>
      <c r="B285" s="15">
        <v>63001827</v>
      </c>
      <c r="C285" s="16" t="s">
        <v>179</v>
      </c>
      <c r="D285" s="16" t="s">
        <v>178</v>
      </c>
      <c r="E285" s="14" t="s">
        <v>155</v>
      </c>
      <c r="F285" s="15">
        <v>20</v>
      </c>
      <c r="G285" s="15">
        <v>670466005048</v>
      </c>
      <c r="H285" s="18">
        <v>46173</v>
      </c>
      <c r="I285" s="18">
        <v>46161</v>
      </c>
      <c r="J285" s="18">
        <v>46162</v>
      </c>
      <c r="K285" s="18">
        <v>46163</v>
      </c>
      <c r="L285" s="15">
        <v>2</v>
      </c>
      <c r="M285" s="14" t="s">
        <v>19</v>
      </c>
      <c r="N285" s="14" t="s">
        <v>157</v>
      </c>
      <c r="O285" s="20" t="s">
        <v>542</v>
      </c>
    </row>
    <row r="286" spans="1:15" ht="15.75" x14ac:dyDescent="0.25">
      <c r="A286" s="14">
        <v>285</v>
      </c>
      <c r="B286" s="15">
        <v>63036953</v>
      </c>
      <c r="C286" s="16" t="s">
        <v>370</v>
      </c>
      <c r="D286" s="16" t="s">
        <v>371</v>
      </c>
      <c r="E286" s="14" t="s">
        <v>161</v>
      </c>
      <c r="F286" s="15"/>
      <c r="G286" s="15">
        <v>1752004268</v>
      </c>
      <c r="H286" s="18">
        <v>46166</v>
      </c>
      <c r="I286" s="18">
        <v>46166</v>
      </c>
      <c r="J286" s="18">
        <v>46168</v>
      </c>
      <c r="K286" s="18">
        <v>46169</v>
      </c>
      <c r="L286" s="15">
        <v>3</v>
      </c>
      <c r="M286" s="14" t="s">
        <v>19</v>
      </c>
      <c r="N286" s="14" t="s">
        <v>157</v>
      </c>
      <c r="O286" s="20" t="s">
        <v>542</v>
      </c>
    </row>
    <row r="287" spans="1:15" ht="15.75" x14ac:dyDescent="0.25">
      <c r="A287" s="14">
        <v>286</v>
      </c>
      <c r="B287" s="15">
        <v>63001860</v>
      </c>
      <c r="C287" s="16" t="s">
        <v>333</v>
      </c>
      <c r="D287" s="16" t="s">
        <v>372</v>
      </c>
      <c r="E287" s="14" t="s">
        <v>161</v>
      </c>
      <c r="F287" s="15"/>
      <c r="G287" s="15">
        <v>722502001268</v>
      </c>
      <c r="H287" s="18">
        <v>46173</v>
      </c>
      <c r="I287" s="18">
        <v>46163</v>
      </c>
      <c r="J287" s="18">
        <v>46177</v>
      </c>
      <c r="K287" s="18">
        <v>46178</v>
      </c>
      <c r="L287" s="15">
        <v>15</v>
      </c>
      <c r="M287" s="14" t="s">
        <v>19</v>
      </c>
      <c r="N287" s="14" t="s">
        <v>165</v>
      </c>
      <c r="O287" s="20" t="s">
        <v>158</v>
      </c>
    </row>
    <row r="288" spans="1:15" ht="15.75" x14ac:dyDescent="0.25">
      <c r="A288" s="14">
        <v>287</v>
      </c>
      <c r="B288" s="15">
        <v>63001351</v>
      </c>
      <c r="C288" s="16" t="s">
        <v>222</v>
      </c>
      <c r="D288" s="16" t="s">
        <v>223</v>
      </c>
      <c r="E288" s="14" t="s">
        <v>155</v>
      </c>
      <c r="F288" s="15">
        <v>20</v>
      </c>
      <c r="G288" s="15">
        <v>930119003357</v>
      </c>
      <c r="H288" s="18">
        <v>46174</v>
      </c>
      <c r="I288" s="18">
        <v>46173</v>
      </c>
      <c r="J288" s="18">
        <v>46184</v>
      </c>
      <c r="K288" s="18">
        <v>46185</v>
      </c>
      <c r="L288" s="15">
        <v>12</v>
      </c>
      <c r="M288" s="14" t="s">
        <v>19</v>
      </c>
      <c r="N288" s="14" t="s">
        <v>157</v>
      </c>
      <c r="O288" s="20" t="s">
        <v>542</v>
      </c>
    </row>
    <row r="289" spans="1:15" ht="15.75" x14ac:dyDescent="0.25">
      <c r="A289" s="14">
        <v>288</v>
      </c>
      <c r="B289" s="15">
        <v>63001827</v>
      </c>
      <c r="C289" s="16" t="s">
        <v>179</v>
      </c>
      <c r="D289" s="16" t="s">
        <v>178</v>
      </c>
      <c r="E289" s="14" t="s">
        <v>155</v>
      </c>
      <c r="F289" s="15">
        <v>20</v>
      </c>
      <c r="G289" s="15">
        <v>670466005048</v>
      </c>
      <c r="H289" s="18">
        <v>46175</v>
      </c>
      <c r="I289" s="18">
        <v>46169</v>
      </c>
      <c r="J289" s="18">
        <v>46170</v>
      </c>
      <c r="K289" s="18">
        <v>46171</v>
      </c>
      <c r="L289" s="15">
        <v>2</v>
      </c>
      <c r="M289" s="14" t="s">
        <v>19</v>
      </c>
      <c r="N289" s="14" t="s">
        <v>157</v>
      </c>
      <c r="O289" s="20" t="s">
        <v>542</v>
      </c>
    </row>
    <row r="290" spans="1:15" ht="15.75" x14ac:dyDescent="0.25">
      <c r="A290" s="14">
        <v>289</v>
      </c>
      <c r="B290" s="15">
        <v>63001546</v>
      </c>
      <c r="C290" s="16" t="s">
        <v>153</v>
      </c>
      <c r="D290" s="16" t="s">
        <v>154</v>
      </c>
      <c r="E290" s="14" t="s">
        <v>155</v>
      </c>
      <c r="F290" s="15">
        <v>20</v>
      </c>
      <c r="G290" s="15">
        <v>922423003949</v>
      </c>
      <c r="H290" s="18">
        <v>46175</v>
      </c>
      <c r="I290" s="18">
        <v>46174</v>
      </c>
      <c r="J290" s="18">
        <v>46203</v>
      </c>
      <c r="K290" s="18">
        <v>46204</v>
      </c>
      <c r="L290" s="15">
        <v>30</v>
      </c>
      <c r="M290" s="14" t="s">
        <v>156</v>
      </c>
      <c r="N290" s="14" t="s">
        <v>157</v>
      </c>
      <c r="O290" s="20" t="s">
        <v>542</v>
      </c>
    </row>
    <row r="291" spans="1:15" ht="15.75" x14ac:dyDescent="0.25">
      <c r="A291" s="14">
        <v>290</v>
      </c>
      <c r="B291" s="15">
        <v>63001807</v>
      </c>
      <c r="C291" s="16" t="s">
        <v>241</v>
      </c>
      <c r="D291" s="16" t="s">
        <v>176</v>
      </c>
      <c r="E291" s="14" t="s">
        <v>155</v>
      </c>
      <c r="F291" s="15">
        <v>20</v>
      </c>
      <c r="G291" s="15">
        <v>973398000633</v>
      </c>
      <c r="H291" s="18">
        <v>46175</v>
      </c>
      <c r="I291" s="18">
        <v>46174</v>
      </c>
      <c r="J291" s="18">
        <v>46203</v>
      </c>
      <c r="K291" s="18">
        <v>46204</v>
      </c>
      <c r="L291" s="15">
        <v>30</v>
      </c>
      <c r="M291" s="14" t="s">
        <v>19</v>
      </c>
      <c r="N291" s="14" t="s">
        <v>165</v>
      </c>
      <c r="O291" s="20" t="s">
        <v>158</v>
      </c>
    </row>
    <row r="292" spans="1:15" ht="15.75" x14ac:dyDescent="0.25">
      <c r="A292" s="14">
        <v>291</v>
      </c>
      <c r="B292" s="15">
        <v>63001504</v>
      </c>
      <c r="C292" s="16" t="s">
        <v>373</v>
      </c>
      <c r="D292" s="16" t="s">
        <v>196</v>
      </c>
      <c r="E292" s="14" t="s">
        <v>161</v>
      </c>
      <c r="F292" s="15"/>
      <c r="G292" s="15">
        <v>910153002854</v>
      </c>
      <c r="H292" s="18">
        <v>46175</v>
      </c>
      <c r="I292" s="18">
        <v>46173</v>
      </c>
      <c r="J292" s="18">
        <v>46187</v>
      </c>
      <c r="K292" s="18">
        <v>46188</v>
      </c>
      <c r="L292" s="15">
        <v>15</v>
      </c>
      <c r="M292" s="14" t="s">
        <v>19</v>
      </c>
      <c r="N292" s="14" t="s">
        <v>157</v>
      </c>
      <c r="O292" s="20" t="s">
        <v>158</v>
      </c>
    </row>
    <row r="293" spans="1:15" ht="15.75" x14ac:dyDescent="0.25">
      <c r="A293" s="14">
        <v>292</v>
      </c>
      <c r="B293" s="15">
        <v>63001688</v>
      </c>
      <c r="C293" s="16" t="s">
        <v>305</v>
      </c>
      <c r="D293" s="16" t="s">
        <v>306</v>
      </c>
      <c r="E293" s="14" t="s">
        <v>155</v>
      </c>
      <c r="F293" s="15"/>
      <c r="G293" s="15">
        <v>853341000654</v>
      </c>
      <c r="H293" s="18">
        <v>46176</v>
      </c>
      <c r="I293" s="18">
        <v>46152</v>
      </c>
      <c r="J293" s="18">
        <v>46152</v>
      </c>
      <c r="K293" s="18">
        <v>46153</v>
      </c>
      <c r="L293" s="15">
        <v>1</v>
      </c>
      <c r="M293" s="14" t="s">
        <v>19</v>
      </c>
      <c r="N293" s="14" t="s">
        <v>157</v>
      </c>
      <c r="O293" s="20" t="s">
        <v>542</v>
      </c>
    </row>
    <row r="294" spans="1:15" ht="15.75" x14ac:dyDescent="0.25">
      <c r="A294" s="14">
        <v>293</v>
      </c>
      <c r="B294" s="15">
        <v>63001785</v>
      </c>
      <c r="C294" s="16" t="s">
        <v>340</v>
      </c>
      <c r="D294" s="16" t="s">
        <v>247</v>
      </c>
      <c r="E294" s="14"/>
      <c r="F294" s="15"/>
      <c r="G294" s="15">
        <v>958531000345</v>
      </c>
      <c r="H294" s="18">
        <v>46176</v>
      </c>
      <c r="I294" s="18">
        <v>46174</v>
      </c>
      <c r="J294" s="18">
        <v>46203</v>
      </c>
      <c r="K294" s="18">
        <v>46204</v>
      </c>
      <c r="L294" s="15">
        <v>30</v>
      </c>
      <c r="M294" s="14" t="s">
        <v>19</v>
      </c>
      <c r="N294" s="14" t="s">
        <v>157</v>
      </c>
      <c r="O294" s="20" t="s">
        <v>542</v>
      </c>
    </row>
    <row r="295" spans="1:15" ht="15.75" x14ac:dyDescent="0.25">
      <c r="A295" s="14">
        <v>294</v>
      </c>
      <c r="B295" s="15">
        <v>63001702</v>
      </c>
      <c r="C295" s="16" t="s">
        <v>338</v>
      </c>
      <c r="D295" s="16" t="s">
        <v>339</v>
      </c>
      <c r="E295" s="14"/>
      <c r="F295" s="15">
        <v>23</v>
      </c>
      <c r="G295" s="15">
        <v>920099035930</v>
      </c>
      <c r="H295" s="18">
        <v>46177</v>
      </c>
      <c r="I295" s="18">
        <v>46167</v>
      </c>
      <c r="J295" s="18">
        <v>46256</v>
      </c>
      <c r="K295" s="18">
        <v>46257</v>
      </c>
      <c r="L295" s="15">
        <v>90</v>
      </c>
      <c r="M295" s="14" t="s">
        <v>19</v>
      </c>
      <c r="N295" s="14" t="s">
        <v>165</v>
      </c>
      <c r="O295" s="20" t="s">
        <v>542</v>
      </c>
    </row>
    <row r="296" spans="1:15" ht="15.75" x14ac:dyDescent="0.25">
      <c r="A296" s="14">
        <v>295</v>
      </c>
      <c r="B296" s="15">
        <v>63001563</v>
      </c>
      <c r="C296" s="16" t="s">
        <v>311</v>
      </c>
      <c r="D296" s="16" t="s">
        <v>199</v>
      </c>
      <c r="E296" s="14" t="s">
        <v>161</v>
      </c>
      <c r="F296" s="15"/>
      <c r="G296" s="15">
        <v>920314016552</v>
      </c>
      <c r="H296" s="18">
        <v>46177</v>
      </c>
      <c r="I296" s="18">
        <v>46174</v>
      </c>
      <c r="J296" s="18">
        <v>46203</v>
      </c>
      <c r="K296" s="18">
        <v>46204</v>
      </c>
      <c r="L296" s="15">
        <v>30</v>
      </c>
      <c r="M296" s="14" t="s">
        <v>19</v>
      </c>
      <c r="N296" s="14" t="s">
        <v>157</v>
      </c>
      <c r="O296" s="20" t="s">
        <v>542</v>
      </c>
    </row>
    <row r="297" spans="1:15" ht="15.75" x14ac:dyDescent="0.25">
      <c r="A297" s="14">
        <v>296</v>
      </c>
      <c r="B297" s="15">
        <v>63001706</v>
      </c>
      <c r="C297" s="16" t="s">
        <v>374</v>
      </c>
      <c r="D297" s="16" t="s">
        <v>199</v>
      </c>
      <c r="E297" s="14" t="s">
        <v>161</v>
      </c>
      <c r="F297" s="15"/>
      <c r="G297" s="15">
        <v>935371000842</v>
      </c>
      <c r="H297" s="18">
        <v>46148</v>
      </c>
      <c r="I297" s="18">
        <v>46143</v>
      </c>
      <c r="J297" s="18">
        <v>46172</v>
      </c>
      <c r="K297" s="18">
        <v>46173</v>
      </c>
      <c r="L297" s="15">
        <v>30</v>
      </c>
      <c r="M297" s="14" t="s">
        <v>19</v>
      </c>
      <c r="N297" s="14" t="s">
        <v>157</v>
      </c>
      <c r="O297" s="20" t="s">
        <v>542</v>
      </c>
    </row>
    <row r="298" spans="1:15" ht="15.75" x14ac:dyDescent="0.25">
      <c r="A298" s="14">
        <v>297</v>
      </c>
      <c r="B298" s="15">
        <v>63036919</v>
      </c>
      <c r="C298" s="16" t="s">
        <v>375</v>
      </c>
      <c r="D298" s="16" t="s">
        <v>171</v>
      </c>
      <c r="E298" s="14" t="s">
        <v>155</v>
      </c>
      <c r="F298" s="15"/>
      <c r="G298" s="15">
        <v>1903001974</v>
      </c>
      <c r="H298" s="18">
        <v>46177</v>
      </c>
      <c r="I298" s="18">
        <v>46173</v>
      </c>
      <c r="J298" s="18">
        <v>46173</v>
      </c>
      <c r="K298" s="18">
        <v>46174</v>
      </c>
      <c r="L298" s="15">
        <v>1</v>
      </c>
      <c r="M298" s="14" t="s">
        <v>19</v>
      </c>
      <c r="N298" s="14" t="s">
        <v>157</v>
      </c>
      <c r="O298" s="20" t="s">
        <v>542</v>
      </c>
    </row>
    <row r="299" spans="1:15" ht="15.75" x14ac:dyDescent="0.25">
      <c r="A299" s="14">
        <v>298</v>
      </c>
      <c r="B299" s="15">
        <v>63036919</v>
      </c>
      <c r="C299" s="16" t="s">
        <v>375</v>
      </c>
      <c r="D299" s="16" t="s">
        <v>171</v>
      </c>
      <c r="E299" s="14" t="s">
        <v>155</v>
      </c>
      <c r="F299" s="15"/>
      <c r="G299" s="15">
        <v>1903001974</v>
      </c>
      <c r="H299" s="18">
        <v>46177</v>
      </c>
      <c r="I299" s="18">
        <v>46174</v>
      </c>
      <c r="J299" s="18">
        <v>46175</v>
      </c>
      <c r="K299" s="18">
        <v>46176</v>
      </c>
      <c r="L299" s="15">
        <v>2</v>
      </c>
      <c r="M299" s="14" t="s">
        <v>19</v>
      </c>
      <c r="N299" s="14" t="s">
        <v>157</v>
      </c>
      <c r="O299" s="20" t="s">
        <v>542</v>
      </c>
    </row>
    <row r="300" spans="1:15" ht="15.75" x14ac:dyDescent="0.25">
      <c r="A300" s="14">
        <v>299</v>
      </c>
      <c r="B300" s="15">
        <v>63036930</v>
      </c>
      <c r="C300" s="16" t="s">
        <v>170</v>
      </c>
      <c r="D300" s="16" t="s">
        <v>171</v>
      </c>
      <c r="E300" s="14" t="s">
        <v>155</v>
      </c>
      <c r="F300" s="15"/>
      <c r="G300" s="15">
        <v>15578001059</v>
      </c>
      <c r="H300" s="18">
        <v>46180</v>
      </c>
      <c r="I300" s="18">
        <v>46166</v>
      </c>
      <c r="J300" s="18">
        <v>46168</v>
      </c>
      <c r="K300" s="18">
        <v>46169</v>
      </c>
      <c r="L300" s="15">
        <v>3</v>
      </c>
      <c r="M300" s="14" t="s">
        <v>19</v>
      </c>
      <c r="N300" s="14" t="s">
        <v>157</v>
      </c>
      <c r="O300" s="20" t="s">
        <v>542</v>
      </c>
    </row>
    <row r="301" spans="1:15" ht="15.75" x14ac:dyDescent="0.25">
      <c r="A301" s="14">
        <v>300</v>
      </c>
      <c r="B301" s="15">
        <v>63001860</v>
      </c>
      <c r="C301" s="16" t="s">
        <v>333</v>
      </c>
      <c r="D301" s="16" t="s">
        <v>334</v>
      </c>
      <c r="E301" s="14" t="s">
        <v>161</v>
      </c>
      <c r="F301" s="15"/>
      <c r="G301" s="15">
        <v>722502001268</v>
      </c>
      <c r="H301" s="18">
        <v>46182</v>
      </c>
      <c r="I301" s="18">
        <v>46178</v>
      </c>
      <c r="J301" s="18">
        <v>46206</v>
      </c>
      <c r="K301" s="18">
        <v>46207</v>
      </c>
      <c r="L301" s="15">
        <v>29</v>
      </c>
      <c r="M301" s="14" t="s">
        <v>19</v>
      </c>
      <c r="N301" s="14" t="s">
        <v>165</v>
      </c>
      <c r="O301" s="20" t="s">
        <v>158</v>
      </c>
    </row>
    <row r="302" spans="1:15" ht="15.75" x14ac:dyDescent="0.25">
      <c r="A302" s="14">
        <v>301</v>
      </c>
      <c r="B302" s="15">
        <v>63001410</v>
      </c>
      <c r="C302" s="16" t="s">
        <v>347</v>
      </c>
      <c r="D302" s="16" t="s">
        <v>189</v>
      </c>
      <c r="E302" s="14" t="s">
        <v>155</v>
      </c>
      <c r="F302" s="15"/>
      <c r="G302" s="15">
        <v>850281028536</v>
      </c>
      <c r="H302" s="18">
        <v>46182</v>
      </c>
      <c r="I302" s="18">
        <v>46175</v>
      </c>
      <c r="J302" s="18">
        <v>46177</v>
      </c>
      <c r="K302" s="18">
        <v>46178</v>
      </c>
      <c r="L302" s="15">
        <v>3</v>
      </c>
      <c r="M302" s="14" t="s">
        <v>19</v>
      </c>
      <c r="N302" s="14" t="s">
        <v>157</v>
      </c>
      <c r="O302" s="20" t="s">
        <v>542</v>
      </c>
    </row>
    <row r="303" spans="1:15" ht="15.75" x14ac:dyDescent="0.25">
      <c r="A303" s="14">
        <v>302</v>
      </c>
      <c r="B303" s="15">
        <v>63001706</v>
      </c>
      <c r="C303" s="16" t="s">
        <v>374</v>
      </c>
      <c r="D303" s="16" t="s">
        <v>199</v>
      </c>
      <c r="E303" s="14" t="s">
        <v>161</v>
      </c>
      <c r="F303" s="15"/>
      <c r="G303" s="15">
        <v>935371000842</v>
      </c>
      <c r="H303" s="18">
        <v>46148</v>
      </c>
      <c r="I303" s="18">
        <v>46173</v>
      </c>
      <c r="J303" s="18">
        <v>46202</v>
      </c>
      <c r="K303" s="18">
        <v>46203</v>
      </c>
      <c r="L303" s="15">
        <v>30</v>
      </c>
      <c r="M303" s="14" t="s">
        <v>19</v>
      </c>
      <c r="N303" s="14" t="s">
        <v>157</v>
      </c>
      <c r="O303" s="20" t="s">
        <v>542</v>
      </c>
    </row>
    <row r="304" spans="1:15" ht="15.75" x14ac:dyDescent="0.25">
      <c r="A304" s="14">
        <v>303</v>
      </c>
      <c r="B304" s="15">
        <v>63001827</v>
      </c>
      <c r="C304" s="16" t="s">
        <v>179</v>
      </c>
      <c r="D304" s="16" t="s">
        <v>178</v>
      </c>
      <c r="E304" s="14" t="s">
        <v>155</v>
      </c>
      <c r="F304" s="15">
        <v>20</v>
      </c>
      <c r="G304" s="15">
        <v>670466005048</v>
      </c>
      <c r="H304" s="18">
        <v>46182</v>
      </c>
      <c r="I304" s="18">
        <v>46177</v>
      </c>
      <c r="J304" s="18">
        <v>46177</v>
      </c>
      <c r="K304" s="18">
        <v>46178</v>
      </c>
      <c r="L304" s="15">
        <v>1</v>
      </c>
      <c r="M304" s="14" t="s">
        <v>19</v>
      </c>
      <c r="N304" s="14" t="s">
        <v>157</v>
      </c>
      <c r="O304" s="20" t="s">
        <v>542</v>
      </c>
    </row>
    <row r="305" spans="1:15" ht="15.75" x14ac:dyDescent="0.25">
      <c r="A305" s="14">
        <v>304</v>
      </c>
      <c r="B305" s="15">
        <v>63001827</v>
      </c>
      <c r="C305" s="16" t="s">
        <v>179</v>
      </c>
      <c r="D305" s="16" t="s">
        <v>178</v>
      </c>
      <c r="E305" s="14" t="s">
        <v>155</v>
      </c>
      <c r="F305" s="15">
        <v>20</v>
      </c>
      <c r="G305" s="15">
        <v>670466005048</v>
      </c>
      <c r="H305" s="18">
        <v>46182</v>
      </c>
      <c r="I305" s="18">
        <v>46178</v>
      </c>
      <c r="J305" s="18">
        <v>46178</v>
      </c>
      <c r="K305" s="18">
        <v>46179</v>
      </c>
      <c r="L305" s="15">
        <v>1</v>
      </c>
      <c r="M305" s="14" t="s">
        <v>19</v>
      </c>
      <c r="N305" s="14" t="s">
        <v>157</v>
      </c>
      <c r="O305" s="20" t="s">
        <v>542</v>
      </c>
    </row>
    <row r="306" spans="1:15" ht="15.75" x14ac:dyDescent="0.25">
      <c r="A306" s="14">
        <v>305</v>
      </c>
      <c r="B306" s="15">
        <v>63001903</v>
      </c>
      <c r="C306" s="16" t="s">
        <v>184</v>
      </c>
      <c r="D306" s="16" t="s">
        <v>185</v>
      </c>
      <c r="E306" s="14" t="s">
        <v>161</v>
      </c>
      <c r="F306" s="15">
        <v>21</v>
      </c>
      <c r="G306" s="15">
        <v>748614000152</v>
      </c>
      <c r="H306" s="18">
        <v>46182</v>
      </c>
      <c r="I306" s="18">
        <v>46177</v>
      </c>
      <c r="J306" s="18">
        <v>46177</v>
      </c>
      <c r="K306" s="18">
        <v>46178</v>
      </c>
      <c r="L306" s="15">
        <v>1</v>
      </c>
      <c r="M306" s="14" t="s">
        <v>19</v>
      </c>
      <c r="N306" s="14" t="s">
        <v>157</v>
      </c>
      <c r="O306" s="20" t="s">
        <v>542</v>
      </c>
    </row>
    <row r="307" spans="1:15" ht="15.75" x14ac:dyDescent="0.25">
      <c r="A307" s="14">
        <v>306</v>
      </c>
      <c r="B307" s="15">
        <v>63001357</v>
      </c>
      <c r="C307" s="16" t="s">
        <v>285</v>
      </c>
      <c r="D307" s="16" t="s">
        <v>286</v>
      </c>
      <c r="E307" s="14" t="s">
        <v>161</v>
      </c>
      <c r="F307" s="15">
        <v>24</v>
      </c>
      <c r="G307" s="15">
        <v>850054056047</v>
      </c>
      <c r="H307" s="18">
        <v>46182</v>
      </c>
      <c r="I307" s="18">
        <v>46180</v>
      </c>
      <c r="J307" s="18">
        <v>46194</v>
      </c>
      <c r="K307" s="18">
        <v>46195</v>
      </c>
      <c r="L307" s="15">
        <v>15</v>
      </c>
      <c r="M307" s="14" t="s">
        <v>19</v>
      </c>
      <c r="N307" s="14" t="s">
        <v>157</v>
      </c>
      <c r="O307" s="20" t="s">
        <v>542</v>
      </c>
    </row>
    <row r="308" spans="1:15" ht="15.75" x14ac:dyDescent="0.25">
      <c r="A308" s="14">
        <v>307</v>
      </c>
      <c r="B308" s="15">
        <v>63001656</v>
      </c>
      <c r="C308" s="16" t="s">
        <v>229</v>
      </c>
      <c r="D308" s="16" t="s">
        <v>230</v>
      </c>
      <c r="E308" s="14" t="s">
        <v>231</v>
      </c>
      <c r="F308" s="15">
        <v>14</v>
      </c>
      <c r="G308" s="15">
        <v>870432021060</v>
      </c>
      <c r="H308" s="18">
        <v>46182</v>
      </c>
      <c r="I308" s="18">
        <v>46181</v>
      </c>
      <c r="J308" s="18">
        <v>46181</v>
      </c>
      <c r="K308" s="18">
        <v>46182</v>
      </c>
      <c r="L308" s="15">
        <v>1</v>
      </c>
      <c r="M308" s="14" t="s">
        <v>19</v>
      </c>
      <c r="N308" s="14" t="s">
        <v>157</v>
      </c>
      <c r="O308" s="20" t="s">
        <v>542</v>
      </c>
    </row>
    <row r="309" spans="1:15" ht="15.75" x14ac:dyDescent="0.25">
      <c r="A309" s="14">
        <v>308</v>
      </c>
      <c r="B309" s="15">
        <v>63001956</v>
      </c>
      <c r="C309" s="16" t="s">
        <v>168</v>
      </c>
      <c r="D309" s="16" t="s">
        <v>169</v>
      </c>
      <c r="E309" s="14" t="s">
        <v>161</v>
      </c>
      <c r="F309" s="15">
        <v>23</v>
      </c>
      <c r="G309" s="15">
        <v>843525002352</v>
      </c>
      <c r="H309" s="18">
        <v>46182</v>
      </c>
      <c r="I309" s="18">
        <v>46178</v>
      </c>
      <c r="J309" s="18">
        <v>46207</v>
      </c>
      <c r="K309" s="18">
        <v>46208</v>
      </c>
      <c r="L309" s="15">
        <v>30</v>
      </c>
      <c r="M309" s="14" t="s">
        <v>19</v>
      </c>
      <c r="N309" s="14" t="s">
        <v>157</v>
      </c>
      <c r="O309" s="20" t="s">
        <v>158</v>
      </c>
    </row>
    <row r="310" spans="1:15" ht="15.75" x14ac:dyDescent="0.25">
      <c r="A310" s="14">
        <v>309</v>
      </c>
      <c r="B310" s="15">
        <v>63001555</v>
      </c>
      <c r="C310" s="16" t="s">
        <v>376</v>
      </c>
      <c r="D310" s="16" t="s">
        <v>167</v>
      </c>
      <c r="E310" s="14" t="s">
        <v>161</v>
      </c>
      <c r="F310" s="15"/>
      <c r="G310" s="15">
        <v>851948002245</v>
      </c>
      <c r="H310" s="18">
        <v>46182</v>
      </c>
      <c r="I310" s="18">
        <v>46176</v>
      </c>
      <c r="J310" s="18">
        <v>46177</v>
      </c>
      <c r="K310" s="18">
        <v>46178</v>
      </c>
      <c r="L310" s="15">
        <v>2</v>
      </c>
      <c r="M310" s="14" t="s">
        <v>19</v>
      </c>
      <c r="N310" s="14" t="s">
        <v>157</v>
      </c>
      <c r="O310" s="20" t="s">
        <v>542</v>
      </c>
    </row>
    <row r="311" spans="1:15" ht="15.75" x14ac:dyDescent="0.25">
      <c r="A311" s="14">
        <v>310</v>
      </c>
      <c r="B311" s="15">
        <v>63001744</v>
      </c>
      <c r="C311" s="16" t="s">
        <v>377</v>
      </c>
      <c r="D311" s="16" t="s">
        <v>378</v>
      </c>
      <c r="E311" s="14" t="s">
        <v>155</v>
      </c>
      <c r="F311" s="15"/>
      <c r="G311" s="15">
        <v>710063024059</v>
      </c>
      <c r="H311" s="18">
        <v>46182</v>
      </c>
      <c r="I311" s="18">
        <v>46179</v>
      </c>
      <c r="J311" s="18">
        <v>46180</v>
      </c>
      <c r="K311" s="18">
        <v>46181</v>
      </c>
      <c r="L311" s="15">
        <v>2</v>
      </c>
      <c r="M311" s="14" t="s">
        <v>19</v>
      </c>
      <c r="N311" s="14" t="s">
        <v>157</v>
      </c>
      <c r="O311" s="20" t="s">
        <v>542</v>
      </c>
    </row>
    <row r="312" spans="1:15" ht="15.75" x14ac:dyDescent="0.25">
      <c r="A312" s="14">
        <v>311</v>
      </c>
      <c r="B312" s="15">
        <v>63001804</v>
      </c>
      <c r="C312" s="16" t="s">
        <v>321</v>
      </c>
      <c r="D312" s="16" t="s">
        <v>176</v>
      </c>
      <c r="E312" s="14" t="s">
        <v>155</v>
      </c>
      <c r="F312" s="15"/>
      <c r="G312" s="15">
        <v>965484000635</v>
      </c>
      <c r="H312" s="18">
        <v>46182</v>
      </c>
      <c r="I312" s="18">
        <v>46180</v>
      </c>
      <c r="J312" s="18">
        <v>46180</v>
      </c>
      <c r="K312" s="18">
        <v>46181</v>
      </c>
      <c r="L312" s="15">
        <v>1</v>
      </c>
      <c r="M312" s="14" t="s">
        <v>19</v>
      </c>
      <c r="N312" s="14" t="s">
        <v>157</v>
      </c>
      <c r="O312" s="20" t="s">
        <v>542</v>
      </c>
    </row>
    <row r="313" spans="1:15" ht="15.75" x14ac:dyDescent="0.25">
      <c r="A313" s="14">
        <v>312</v>
      </c>
      <c r="B313" s="15">
        <v>63001473</v>
      </c>
      <c r="C313" s="16" t="s">
        <v>379</v>
      </c>
      <c r="D313" s="16" t="s">
        <v>176</v>
      </c>
      <c r="E313" s="14" t="s">
        <v>155</v>
      </c>
      <c r="F313" s="15"/>
      <c r="G313" s="15">
        <v>883076002936</v>
      </c>
      <c r="H313" s="18">
        <v>46182</v>
      </c>
      <c r="I313" s="18">
        <v>46180</v>
      </c>
      <c r="J313" s="18">
        <v>46180</v>
      </c>
      <c r="K313" s="18">
        <v>46181</v>
      </c>
      <c r="L313" s="15">
        <v>1</v>
      </c>
      <c r="M313" s="14" t="s">
        <v>19</v>
      </c>
      <c r="N313" s="14" t="s">
        <v>157</v>
      </c>
      <c r="O313" s="20" t="s">
        <v>542</v>
      </c>
    </row>
    <row r="314" spans="1:15" ht="15.75" x14ac:dyDescent="0.25">
      <c r="A314" s="14">
        <v>313</v>
      </c>
      <c r="B314" s="15">
        <v>63001698</v>
      </c>
      <c r="C314" s="16" t="s">
        <v>182</v>
      </c>
      <c r="D314" s="16" t="s">
        <v>183</v>
      </c>
      <c r="E314" s="14" t="s">
        <v>161</v>
      </c>
      <c r="F314" s="15">
        <v>22</v>
      </c>
      <c r="G314" s="15">
        <v>910461009738</v>
      </c>
      <c r="H314" s="18">
        <v>46184</v>
      </c>
      <c r="I314" s="18">
        <v>46183</v>
      </c>
      <c r="J314" s="18">
        <v>46184</v>
      </c>
      <c r="K314" s="18">
        <v>46185</v>
      </c>
      <c r="L314" s="15">
        <v>2</v>
      </c>
      <c r="M314" s="14" t="s">
        <v>19</v>
      </c>
      <c r="N314" s="14" t="s">
        <v>165</v>
      </c>
      <c r="O314" s="20" t="s">
        <v>158</v>
      </c>
    </row>
    <row r="315" spans="1:15" ht="15.75" x14ac:dyDescent="0.25">
      <c r="A315" s="14">
        <v>314</v>
      </c>
      <c r="B315" s="15">
        <v>63001511</v>
      </c>
      <c r="C315" s="16" t="s">
        <v>380</v>
      </c>
      <c r="D315" s="16" t="s">
        <v>196</v>
      </c>
      <c r="E315" s="14" t="s">
        <v>161</v>
      </c>
      <c r="F315" s="15"/>
      <c r="G315" s="15">
        <v>910174016543</v>
      </c>
      <c r="H315" s="18">
        <v>46184</v>
      </c>
      <c r="I315" s="18">
        <v>46180</v>
      </c>
      <c r="J315" s="18">
        <v>46182</v>
      </c>
      <c r="K315" s="18">
        <v>46183</v>
      </c>
      <c r="L315" s="15">
        <v>3</v>
      </c>
      <c r="M315" s="14" t="s">
        <v>19</v>
      </c>
      <c r="N315" s="14" t="s">
        <v>157</v>
      </c>
      <c r="O315" s="20" t="s">
        <v>542</v>
      </c>
    </row>
    <row r="316" spans="1:15" ht="15.75" x14ac:dyDescent="0.25">
      <c r="A316" s="14">
        <v>315</v>
      </c>
      <c r="B316" s="15">
        <v>63001903</v>
      </c>
      <c r="C316" s="16" t="s">
        <v>184</v>
      </c>
      <c r="D316" s="16" t="s">
        <v>185</v>
      </c>
      <c r="E316" s="14" t="s">
        <v>161</v>
      </c>
      <c r="F316" s="15">
        <v>21</v>
      </c>
      <c r="G316" s="15">
        <v>748614000152</v>
      </c>
      <c r="H316" s="18">
        <v>46188</v>
      </c>
      <c r="I316" s="18">
        <v>46185</v>
      </c>
      <c r="J316" s="18">
        <v>46185</v>
      </c>
      <c r="K316" s="18">
        <v>46186</v>
      </c>
      <c r="L316" s="15">
        <v>1</v>
      </c>
      <c r="M316" s="14" t="s">
        <v>19</v>
      </c>
      <c r="N316" s="14" t="s">
        <v>157</v>
      </c>
      <c r="O316" s="20" t="s">
        <v>542</v>
      </c>
    </row>
    <row r="317" spans="1:15" ht="15.75" x14ac:dyDescent="0.25">
      <c r="A317" s="14">
        <v>316</v>
      </c>
      <c r="B317" s="15">
        <v>63036962</v>
      </c>
      <c r="C317" s="16" t="s">
        <v>274</v>
      </c>
      <c r="D317" s="16" t="s">
        <v>275</v>
      </c>
      <c r="E317" s="14" t="s">
        <v>161</v>
      </c>
      <c r="F317" s="15"/>
      <c r="G317" s="15">
        <v>970096007630</v>
      </c>
      <c r="H317" s="18">
        <v>46188</v>
      </c>
      <c r="I317" s="18">
        <v>46187</v>
      </c>
      <c r="J317" s="18">
        <v>46187</v>
      </c>
      <c r="K317" s="18">
        <v>46188</v>
      </c>
      <c r="L317" s="15">
        <v>1</v>
      </c>
      <c r="M317" s="14" t="s">
        <v>19</v>
      </c>
      <c r="N317" s="14" t="s">
        <v>157</v>
      </c>
      <c r="O317" s="20" t="s">
        <v>542</v>
      </c>
    </row>
    <row r="318" spans="1:15" ht="15.75" x14ac:dyDescent="0.25">
      <c r="A318" s="14">
        <v>317</v>
      </c>
      <c r="B318" s="15">
        <v>63001686</v>
      </c>
      <c r="C318" s="16" t="s">
        <v>381</v>
      </c>
      <c r="D318" s="16" t="s">
        <v>262</v>
      </c>
      <c r="E318" s="14" t="s">
        <v>161</v>
      </c>
      <c r="F318" s="15"/>
      <c r="G318" s="15">
        <v>923519002350</v>
      </c>
      <c r="H318" s="18">
        <v>46188</v>
      </c>
      <c r="I318" s="18">
        <v>46187</v>
      </c>
      <c r="J318" s="18">
        <v>46198</v>
      </c>
      <c r="K318" s="18">
        <v>46199</v>
      </c>
      <c r="L318" s="15">
        <v>12</v>
      </c>
      <c r="M318" s="14" t="s">
        <v>19</v>
      </c>
      <c r="N318" s="14" t="s">
        <v>157</v>
      </c>
      <c r="O318" s="20" t="s">
        <v>542</v>
      </c>
    </row>
    <row r="319" spans="1:15" ht="15.75" x14ac:dyDescent="0.25">
      <c r="A319" s="14">
        <v>318</v>
      </c>
      <c r="B319" s="15">
        <v>63001827</v>
      </c>
      <c r="C319" s="16" t="s">
        <v>179</v>
      </c>
      <c r="D319" s="16" t="s">
        <v>178</v>
      </c>
      <c r="E319" s="14" t="s">
        <v>155</v>
      </c>
      <c r="F319" s="15">
        <v>20</v>
      </c>
      <c r="G319" s="15">
        <v>670466005048</v>
      </c>
      <c r="H319" s="18">
        <v>46190</v>
      </c>
      <c r="I319" s="18">
        <v>46185</v>
      </c>
      <c r="J319" s="18">
        <v>46186</v>
      </c>
      <c r="K319" s="18">
        <v>46187</v>
      </c>
      <c r="L319" s="15">
        <v>2</v>
      </c>
      <c r="M319" s="14" t="s">
        <v>19</v>
      </c>
      <c r="N319" s="14" t="s">
        <v>157</v>
      </c>
      <c r="O319" s="20" t="s">
        <v>542</v>
      </c>
    </row>
    <row r="320" spans="1:15" ht="15.75" x14ac:dyDescent="0.25">
      <c r="A320" s="14">
        <v>319</v>
      </c>
      <c r="B320" s="15">
        <v>63001827</v>
      </c>
      <c r="C320" s="16" t="s">
        <v>179</v>
      </c>
      <c r="D320" s="16" t="s">
        <v>178</v>
      </c>
      <c r="E320" s="14" t="s">
        <v>155</v>
      </c>
      <c r="F320" s="15">
        <v>20</v>
      </c>
      <c r="G320" s="15">
        <v>670466005048</v>
      </c>
      <c r="H320" s="18">
        <v>46190</v>
      </c>
      <c r="I320" s="18">
        <v>46187</v>
      </c>
      <c r="J320" s="18">
        <v>46187</v>
      </c>
      <c r="K320" s="18">
        <v>46188</v>
      </c>
      <c r="L320" s="15">
        <v>1</v>
      </c>
      <c r="M320" s="14" t="s">
        <v>19</v>
      </c>
      <c r="N320" s="14" t="s">
        <v>157</v>
      </c>
      <c r="O320" s="20" t="s">
        <v>542</v>
      </c>
    </row>
    <row r="321" spans="1:15" ht="15.75" x14ac:dyDescent="0.25">
      <c r="A321" s="14">
        <v>320</v>
      </c>
      <c r="B321" s="15">
        <v>63001537</v>
      </c>
      <c r="C321" s="16" t="s">
        <v>331</v>
      </c>
      <c r="D321" s="16" t="s">
        <v>167</v>
      </c>
      <c r="E321" s="14" t="s">
        <v>161</v>
      </c>
      <c r="F321" s="15"/>
      <c r="G321" s="15">
        <v>870155038339</v>
      </c>
      <c r="H321" s="18">
        <v>46190</v>
      </c>
      <c r="I321" s="18">
        <v>46190</v>
      </c>
      <c r="J321" s="18">
        <v>46191</v>
      </c>
      <c r="K321" s="18">
        <v>46192</v>
      </c>
      <c r="L321" s="15">
        <v>2</v>
      </c>
      <c r="M321" s="14" t="s">
        <v>19</v>
      </c>
      <c r="N321" s="14" t="s">
        <v>157</v>
      </c>
      <c r="O321" s="20" t="s">
        <v>542</v>
      </c>
    </row>
    <row r="322" spans="1:15" ht="15.75" x14ac:dyDescent="0.25">
      <c r="A322" s="14">
        <v>321</v>
      </c>
      <c r="B322" s="15">
        <v>63001804</v>
      </c>
      <c r="C322" s="16" t="s">
        <v>321</v>
      </c>
      <c r="D322" s="16" t="s">
        <v>176</v>
      </c>
      <c r="E322" s="14" t="s">
        <v>155</v>
      </c>
      <c r="F322" s="15"/>
      <c r="G322" s="15">
        <v>965484000635</v>
      </c>
      <c r="H322" s="18">
        <v>46190</v>
      </c>
      <c r="I322" s="18">
        <v>46187</v>
      </c>
      <c r="J322" s="18">
        <v>46188</v>
      </c>
      <c r="K322" s="18">
        <v>46189</v>
      </c>
      <c r="L322" s="15">
        <v>2</v>
      </c>
      <c r="M322" s="14" t="s">
        <v>19</v>
      </c>
      <c r="N322" s="14" t="s">
        <v>157</v>
      </c>
      <c r="O322" s="20" t="s">
        <v>542</v>
      </c>
    </row>
    <row r="323" spans="1:15" ht="15.75" x14ac:dyDescent="0.25">
      <c r="A323" s="14">
        <v>322</v>
      </c>
      <c r="B323" s="15">
        <v>63001500</v>
      </c>
      <c r="C323" s="16" t="s">
        <v>186</v>
      </c>
      <c r="D323" s="16" t="s">
        <v>187</v>
      </c>
      <c r="E323" s="14" t="s">
        <v>155</v>
      </c>
      <c r="F323" s="15">
        <v>20</v>
      </c>
      <c r="G323" s="15">
        <v>850409004354</v>
      </c>
      <c r="H323" s="18">
        <v>46196</v>
      </c>
      <c r="I323" s="18">
        <v>46190</v>
      </c>
      <c r="J323" s="18">
        <v>46191</v>
      </c>
      <c r="K323" s="18">
        <v>46192</v>
      </c>
      <c r="L323" s="15">
        <v>2</v>
      </c>
      <c r="M323" s="14" t="s">
        <v>19</v>
      </c>
      <c r="N323" s="14" t="s">
        <v>157</v>
      </c>
      <c r="O323" s="20" t="s">
        <v>542</v>
      </c>
    </row>
    <row r="324" spans="1:15" ht="15.75" x14ac:dyDescent="0.25">
      <c r="A324" s="14">
        <v>323</v>
      </c>
      <c r="B324" s="15">
        <v>63036934</v>
      </c>
      <c r="C324" s="16" t="s">
        <v>343</v>
      </c>
      <c r="D324" s="16" t="s">
        <v>344</v>
      </c>
      <c r="E324" s="14" t="s">
        <v>161</v>
      </c>
      <c r="F324" s="15"/>
      <c r="G324" s="15">
        <v>17901000173</v>
      </c>
      <c r="H324" s="18">
        <v>46196</v>
      </c>
      <c r="I324" s="18">
        <v>46190</v>
      </c>
      <c r="J324" s="18">
        <v>46190</v>
      </c>
      <c r="K324" s="18">
        <v>46191</v>
      </c>
      <c r="L324" s="15">
        <v>1</v>
      </c>
      <c r="M324" s="14" t="s">
        <v>19</v>
      </c>
      <c r="N324" s="14" t="s">
        <v>157</v>
      </c>
      <c r="O324" s="20" t="s">
        <v>542</v>
      </c>
    </row>
    <row r="325" spans="1:15" ht="15.75" x14ac:dyDescent="0.25">
      <c r="A325" s="14">
        <v>324</v>
      </c>
      <c r="B325" s="15">
        <v>63001698</v>
      </c>
      <c r="C325" s="16" t="s">
        <v>182</v>
      </c>
      <c r="D325" s="16" t="s">
        <v>183</v>
      </c>
      <c r="E325" s="14" t="s">
        <v>161</v>
      </c>
      <c r="F325" s="15">
        <v>22</v>
      </c>
      <c r="G325" s="15">
        <v>910461009738</v>
      </c>
      <c r="H325" s="18">
        <v>46196</v>
      </c>
      <c r="I325" s="18">
        <v>46191</v>
      </c>
      <c r="J325" s="18">
        <v>46191</v>
      </c>
      <c r="K325" s="18">
        <v>46192</v>
      </c>
      <c r="L325" s="15">
        <v>1</v>
      </c>
      <c r="M325" s="14" t="s">
        <v>19</v>
      </c>
      <c r="N325" s="14" t="s">
        <v>165</v>
      </c>
      <c r="O325" s="20" t="s">
        <v>542</v>
      </c>
    </row>
    <row r="326" spans="1:15" ht="15.75" x14ac:dyDescent="0.25">
      <c r="A326" s="14">
        <v>325</v>
      </c>
      <c r="B326" s="15">
        <v>63001537</v>
      </c>
      <c r="C326" s="16" t="s">
        <v>331</v>
      </c>
      <c r="D326" s="16" t="s">
        <v>167</v>
      </c>
      <c r="E326" s="14" t="s">
        <v>161</v>
      </c>
      <c r="F326" s="15"/>
      <c r="G326" s="15">
        <v>870155038339</v>
      </c>
      <c r="H326" s="18">
        <v>46196</v>
      </c>
      <c r="I326" s="18">
        <v>46175</v>
      </c>
      <c r="J326" s="18">
        <v>46175</v>
      </c>
      <c r="K326" s="18">
        <v>46176</v>
      </c>
      <c r="L326" s="15">
        <v>1</v>
      </c>
      <c r="M326" s="14" t="s">
        <v>19</v>
      </c>
      <c r="N326" s="14" t="s">
        <v>157</v>
      </c>
      <c r="O326" s="20" t="s">
        <v>542</v>
      </c>
    </row>
    <row r="327" spans="1:15" ht="15.75" x14ac:dyDescent="0.25">
      <c r="A327" s="14">
        <v>326</v>
      </c>
      <c r="B327" s="15">
        <v>63001827</v>
      </c>
      <c r="C327" s="16" t="s">
        <v>179</v>
      </c>
      <c r="D327" s="16" t="s">
        <v>178</v>
      </c>
      <c r="E327" s="14" t="s">
        <v>155</v>
      </c>
      <c r="F327" s="15">
        <v>20</v>
      </c>
      <c r="G327" s="15">
        <v>670466005048</v>
      </c>
      <c r="H327" s="18">
        <v>46196</v>
      </c>
      <c r="I327" s="18">
        <v>46193</v>
      </c>
      <c r="J327" s="18">
        <v>46194</v>
      </c>
      <c r="K327" s="18">
        <v>46195</v>
      </c>
      <c r="L327" s="15">
        <v>2</v>
      </c>
      <c r="M327" s="14" t="s">
        <v>19</v>
      </c>
      <c r="N327" s="14" t="s">
        <v>157</v>
      </c>
      <c r="O327" s="20" t="s">
        <v>542</v>
      </c>
    </row>
    <row r="328" spans="1:15" ht="15.75" x14ac:dyDescent="0.25">
      <c r="A328" s="14">
        <v>327</v>
      </c>
      <c r="B328" s="15">
        <v>63001688</v>
      </c>
      <c r="C328" s="16" t="s">
        <v>305</v>
      </c>
      <c r="D328" s="16" t="s">
        <v>306</v>
      </c>
      <c r="E328" s="14" t="s">
        <v>155</v>
      </c>
      <c r="F328" s="15"/>
      <c r="G328" s="15">
        <v>853341000654</v>
      </c>
      <c r="H328" s="18">
        <v>46196</v>
      </c>
      <c r="I328" s="18">
        <v>46192</v>
      </c>
      <c r="J328" s="18">
        <v>46192</v>
      </c>
      <c r="K328" s="18">
        <v>46193</v>
      </c>
      <c r="L328" s="15">
        <v>1</v>
      </c>
      <c r="M328" s="14" t="s">
        <v>19</v>
      </c>
      <c r="N328" s="14" t="s">
        <v>157</v>
      </c>
      <c r="O328" s="20" t="s">
        <v>542</v>
      </c>
    </row>
    <row r="329" spans="1:15" ht="15.75" x14ac:dyDescent="0.25">
      <c r="A329" s="14">
        <v>328</v>
      </c>
      <c r="B329" s="15">
        <v>63001357</v>
      </c>
      <c r="C329" s="16" t="s">
        <v>285</v>
      </c>
      <c r="D329" s="16" t="s">
        <v>286</v>
      </c>
      <c r="E329" s="14" t="s">
        <v>161</v>
      </c>
      <c r="F329" s="15">
        <v>24</v>
      </c>
      <c r="G329" s="15">
        <v>850054056047</v>
      </c>
      <c r="H329" s="18">
        <v>46196</v>
      </c>
      <c r="I329" s="18">
        <v>46195</v>
      </c>
      <c r="J329" s="18">
        <v>46212</v>
      </c>
      <c r="K329" s="18">
        <v>46213</v>
      </c>
      <c r="L329" s="15">
        <v>18</v>
      </c>
      <c r="M329" s="14" t="s">
        <v>19</v>
      </c>
      <c r="N329" s="14" t="s">
        <v>157</v>
      </c>
      <c r="O329" s="20" t="s">
        <v>542</v>
      </c>
    </row>
    <row r="330" spans="1:15" ht="15.75" x14ac:dyDescent="0.25">
      <c r="A330" s="14">
        <v>329</v>
      </c>
      <c r="B330" s="15">
        <v>63001889</v>
      </c>
      <c r="C330" s="16" t="s">
        <v>233</v>
      </c>
      <c r="D330" s="16" t="s">
        <v>234</v>
      </c>
      <c r="E330" s="14" t="s">
        <v>161</v>
      </c>
      <c r="F330" s="15">
        <v>24</v>
      </c>
      <c r="G330" s="15">
        <v>710821004261</v>
      </c>
      <c r="H330" s="18">
        <v>46196</v>
      </c>
      <c r="I330" s="18">
        <v>46197</v>
      </c>
      <c r="J330" s="18">
        <v>46198</v>
      </c>
      <c r="K330" s="18">
        <v>46199</v>
      </c>
      <c r="L330" s="15">
        <v>4</v>
      </c>
      <c r="M330" s="14" t="s">
        <v>19</v>
      </c>
      <c r="N330" s="14" t="s">
        <v>157</v>
      </c>
      <c r="O330" s="20" t="s">
        <v>542</v>
      </c>
    </row>
    <row r="331" spans="1:15" ht="15.75" x14ac:dyDescent="0.25">
      <c r="A331" s="14">
        <v>330</v>
      </c>
      <c r="B331" s="15">
        <v>63001577</v>
      </c>
      <c r="C331" s="16" t="s">
        <v>193</v>
      </c>
      <c r="D331" s="16" t="s">
        <v>194</v>
      </c>
      <c r="E331" s="14" t="s">
        <v>161</v>
      </c>
      <c r="F331" s="15">
        <v>21</v>
      </c>
      <c r="G331" s="15">
        <v>922382002050</v>
      </c>
      <c r="H331" s="18">
        <v>46196</v>
      </c>
      <c r="I331" s="18">
        <v>46194</v>
      </c>
      <c r="J331" s="18">
        <v>46197</v>
      </c>
      <c r="K331" s="18">
        <v>46198</v>
      </c>
      <c r="L331" s="15">
        <v>4</v>
      </c>
      <c r="M331" s="14" t="s">
        <v>19</v>
      </c>
      <c r="N331" s="14" t="s">
        <v>157</v>
      </c>
      <c r="O331" s="20" t="s">
        <v>542</v>
      </c>
    </row>
    <row r="332" spans="1:15" ht="15.75" x14ac:dyDescent="0.25">
      <c r="A332" s="14">
        <v>331</v>
      </c>
      <c r="B332" s="15">
        <v>63036915</v>
      </c>
      <c r="C332" s="16" t="s">
        <v>382</v>
      </c>
      <c r="D332" s="16" t="s">
        <v>301</v>
      </c>
      <c r="E332" s="14" t="s">
        <v>161</v>
      </c>
      <c r="F332" s="15">
        <v>21</v>
      </c>
      <c r="G332" s="15">
        <v>277010768</v>
      </c>
      <c r="H332" s="18">
        <v>46198</v>
      </c>
      <c r="I332" s="18">
        <v>46190</v>
      </c>
      <c r="J332" s="18">
        <v>46191</v>
      </c>
      <c r="K332" s="18">
        <v>46192</v>
      </c>
      <c r="L332" s="15">
        <v>2</v>
      </c>
      <c r="M332" s="14" t="s">
        <v>19</v>
      </c>
      <c r="N332" s="14" t="s">
        <v>157</v>
      </c>
      <c r="O332" s="20" t="s">
        <v>542</v>
      </c>
    </row>
    <row r="333" spans="1:15" ht="15.75" x14ac:dyDescent="0.25">
      <c r="A333" s="14">
        <v>332</v>
      </c>
      <c r="B333" s="15">
        <v>63001511</v>
      </c>
      <c r="C333" s="16" t="s">
        <v>380</v>
      </c>
      <c r="D333" s="16" t="s">
        <v>196</v>
      </c>
      <c r="E333" s="14" t="s">
        <v>161</v>
      </c>
      <c r="F333" s="15"/>
      <c r="G333" s="15">
        <v>910174016543</v>
      </c>
      <c r="H333" s="18">
        <v>46201</v>
      </c>
      <c r="I333" s="18">
        <v>46195</v>
      </c>
      <c r="J333" s="18">
        <v>46196</v>
      </c>
      <c r="K333" s="18">
        <v>46197</v>
      </c>
      <c r="L333" s="15">
        <v>2</v>
      </c>
      <c r="M333" s="14" t="s">
        <v>19</v>
      </c>
      <c r="N333" s="14" t="s">
        <v>157</v>
      </c>
      <c r="O333" s="20" t="s">
        <v>542</v>
      </c>
    </row>
    <row r="334" spans="1:15" ht="15.75" x14ac:dyDescent="0.25">
      <c r="A334" s="14">
        <v>333</v>
      </c>
      <c r="B334" s="15">
        <v>63001710</v>
      </c>
      <c r="C334" s="16" t="s">
        <v>383</v>
      </c>
      <c r="D334" s="16" t="s">
        <v>217</v>
      </c>
      <c r="E334" s="14" t="s">
        <v>155</v>
      </c>
      <c r="F334" s="15"/>
      <c r="G334" s="15">
        <v>930174020453</v>
      </c>
      <c r="H334" s="18">
        <v>46201</v>
      </c>
      <c r="I334" s="18">
        <v>46193</v>
      </c>
      <c r="J334" s="18">
        <v>46194</v>
      </c>
      <c r="K334" s="18">
        <v>46195</v>
      </c>
      <c r="L334" s="15">
        <v>2</v>
      </c>
      <c r="M334" s="14" t="s">
        <v>19</v>
      </c>
      <c r="N334" s="14" t="s">
        <v>157</v>
      </c>
      <c r="O334" s="20" t="s">
        <v>542</v>
      </c>
    </row>
    <row r="335" spans="1:15" ht="15.75" x14ac:dyDescent="0.25">
      <c r="A335" s="14">
        <v>334</v>
      </c>
      <c r="B335" s="15">
        <v>63036916</v>
      </c>
      <c r="C335" s="16" t="s">
        <v>284</v>
      </c>
      <c r="D335" s="16" t="s">
        <v>178</v>
      </c>
      <c r="E335" s="14" t="s">
        <v>155</v>
      </c>
      <c r="F335" s="15"/>
      <c r="G335" s="15">
        <v>971883003435</v>
      </c>
      <c r="H335" s="18">
        <v>46201</v>
      </c>
      <c r="I335" s="18">
        <v>46196</v>
      </c>
      <c r="J335" s="18">
        <v>46196</v>
      </c>
      <c r="K335" s="18">
        <v>46197</v>
      </c>
      <c r="L335" s="15">
        <v>1</v>
      </c>
      <c r="M335" s="14" t="s">
        <v>19</v>
      </c>
      <c r="N335" s="14" t="s">
        <v>157</v>
      </c>
      <c r="O335" s="20" t="s">
        <v>542</v>
      </c>
    </row>
    <row r="336" spans="1:15" ht="15.75" x14ac:dyDescent="0.25">
      <c r="A336" s="14">
        <v>335</v>
      </c>
      <c r="B336" s="15">
        <v>63036917</v>
      </c>
      <c r="C336" s="16" t="s">
        <v>357</v>
      </c>
      <c r="D336" s="16" t="s">
        <v>178</v>
      </c>
      <c r="E336" s="14" t="s">
        <v>155</v>
      </c>
      <c r="F336" s="15"/>
      <c r="G336" s="15">
        <v>20430006273</v>
      </c>
      <c r="H336" s="18">
        <v>46201</v>
      </c>
      <c r="I336" s="18">
        <v>46195</v>
      </c>
      <c r="J336" s="18">
        <v>46196</v>
      </c>
      <c r="K336" s="18">
        <v>46197</v>
      </c>
      <c r="L336" s="15">
        <v>2</v>
      </c>
      <c r="M336" s="14" t="s">
        <v>19</v>
      </c>
      <c r="N336" s="14" t="s">
        <v>157</v>
      </c>
      <c r="O336" s="20" t="s">
        <v>542</v>
      </c>
    </row>
    <row r="337" spans="1:15" ht="15.75" x14ac:dyDescent="0.25">
      <c r="A337" s="14">
        <v>336</v>
      </c>
      <c r="B337" s="15">
        <v>63001537</v>
      </c>
      <c r="C337" s="16" t="s">
        <v>331</v>
      </c>
      <c r="D337" s="16" t="s">
        <v>167</v>
      </c>
      <c r="E337" s="14" t="s">
        <v>161</v>
      </c>
      <c r="F337" s="15"/>
      <c r="G337" s="15">
        <v>870155038339</v>
      </c>
      <c r="H337" s="18">
        <v>46203</v>
      </c>
      <c r="I337" s="18">
        <v>46197</v>
      </c>
      <c r="J337" s="18">
        <v>46197</v>
      </c>
      <c r="K337" s="18">
        <v>46198</v>
      </c>
      <c r="L337" s="15">
        <v>1</v>
      </c>
      <c r="M337" s="14" t="s">
        <v>19</v>
      </c>
      <c r="N337" s="14" t="s">
        <v>157</v>
      </c>
      <c r="O337" s="20" t="s">
        <v>542</v>
      </c>
    </row>
    <row r="338" spans="1:15" ht="15.75" x14ac:dyDescent="0.25">
      <c r="A338" s="14">
        <v>337</v>
      </c>
      <c r="B338" s="15">
        <v>63001698</v>
      </c>
      <c r="C338" s="16" t="s">
        <v>182</v>
      </c>
      <c r="D338" s="16" t="s">
        <v>183</v>
      </c>
      <c r="E338" s="14" t="s">
        <v>161</v>
      </c>
      <c r="F338" s="15">
        <v>22</v>
      </c>
      <c r="G338" s="15">
        <v>910461009738</v>
      </c>
      <c r="H338" s="18">
        <v>46203</v>
      </c>
      <c r="I338" s="18">
        <v>46201</v>
      </c>
      <c r="J338" s="18">
        <v>46201</v>
      </c>
      <c r="K338" s="18">
        <v>46202</v>
      </c>
      <c r="L338" s="15">
        <v>1</v>
      </c>
      <c r="M338" s="14" t="s">
        <v>19</v>
      </c>
      <c r="N338" s="14" t="s">
        <v>165</v>
      </c>
      <c r="O338" s="20" t="s">
        <v>542</v>
      </c>
    </row>
    <row r="339" spans="1:15" ht="15.75" x14ac:dyDescent="0.25">
      <c r="A339" s="14">
        <v>338</v>
      </c>
      <c r="B339" s="15">
        <v>63001698</v>
      </c>
      <c r="C339" s="16" t="s">
        <v>182</v>
      </c>
      <c r="D339" s="16" t="s">
        <v>183</v>
      </c>
      <c r="E339" s="14" t="s">
        <v>161</v>
      </c>
      <c r="F339" s="15">
        <v>22</v>
      </c>
      <c r="G339" s="15">
        <v>910461009738</v>
      </c>
      <c r="H339" s="18">
        <v>46203</v>
      </c>
      <c r="I339" s="18">
        <v>46203</v>
      </c>
      <c r="J339" s="18">
        <v>46203</v>
      </c>
      <c r="K339" s="18">
        <v>46204</v>
      </c>
      <c r="L339" s="15">
        <v>1</v>
      </c>
      <c r="M339" s="14" t="s">
        <v>19</v>
      </c>
      <c r="N339" s="14" t="s">
        <v>157</v>
      </c>
      <c r="O339" s="20" t="s">
        <v>542</v>
      </c>
    </row>
    <row r="340" spans="1:15" ht="15.75" x14ac:dyDescent="0.25">
      <c r="A340" s="14">
        <v>339</v>
      </c>
      <c r="B340" s="15">
        <v>63001577</v>
      </c>
      <c r="C340" s="16" t="s">
        <v>193</v>
      </c>
      <c r="D340" s="16" t="s">
        <v>194</v>
      </c>
      <c r="E340" s="14" t="s">
        <v>161</v>
      </c>
      <c r="F340" s="15">
        <v>21</v>
      </c>
      <c r="G340" s="15">
        <v>922382002050</v>
      </c>
      <c r="H340" s="18">
        <v>46203</v>
      </c>
      <c r="I340" s="18">
        <v>46202</v>
      </c>
      <c r="J340" s="18">
        <v>46204</v>
      </c>
      <c r="K340" s="18">
        <v>46205</v>
      </c>
      <c r="L340" s="15">
        <v>3</v>
      </c>
      <c r="M340" s="14" t="s">
        <v>19</v>
      </c>
      <c r="N340" s="14" t="s">
        <v>157</v>
      </c>
      <c r="O340" s="20" t="s">
        <v>542</v>
      </c>
    </row>
    <row r="341" spans="1:15" ht="15.75" x14ac:dyDescent="0.25">
      <c r="A341" s="14">
        <v>340</v>
      </c>
      <c r="B341" s="15">
        <v>63001788</v>
      </c>
      <c r="C341" s="16" t="s">
        <v>276</v>
      </c>
      <c r="D341" s="16" t="s">
        <v>277</v>
      </c>
      <c r="E341" s="14" t="s">
        <v>155</v>
      </c>
      <c r="F341" s="15">
        <v>18</v>
      </c>
      <c r="G341" s="15">
        <v>872863000445</v>
      </c>
      <c r="H341" s="18">
        <v>46204</v>
      </c>
      <c r="I341" s="18">
        <v>46202</v>
      </c>
      <c r="J341" s="18">
        <v>46216</v>
      </c>
      <c r="K341" s="18">
        <v>46217</v>
      </c>
      <c r="L341" s="15">
        <v>15</v>
      </c>
      <c r="M341" s="14" t="s">
        <v>19</v>
      </c>
      <c r="N341" s="14" t="s">
        <v>157</v>
      </c>
      <c r="O341" s="20" t="s">
        <v>158</v>
      </c>
    </row>
    <row r="342" spans="1:15" ht="15.75" x14ac:dyDescent="0.25">
      <c r="A342" s="14">
        <v>341</v>
      </c>
      <c r="B342" s="15">
        <v>63001351</v>
      </c>
      <c r="C342" s="16" t="s">
        <v>222</v>
      </c>
      <c r="D342" s="16" t="s">
        <v>223</v>
      </c>
      <c r="E342" s="14" t="s">
        <v>155</v>
      </c>
      <c r="F342" s="15">
        <v>20</v>
      </c>
      <c r="G342" s="15">
        <v>930119003357</v>
      </c>
      <c r="H342" s="18">
        <v>46204</v>
      </c>
      <c r="I342" s="18">
        <v>46201</v>
      </c>
      <c r="J342" s="18">
        <v>46204</v>
      </c>
      <c r="K342" s="18">
        <v>46205</v>
      </c>
      <c r="L342" s="15">
        <v>4</v>
      </c>
      <c r="M342" s="14" t="s">
        <v>19</v>
      </c>
      <c r="N342" s="14" t="s">
        <v>157</v>
      </c>
      <c r="O342" s="20" t="s">
        <v>158</v>
      </c>
    </row>
    <row r="343" spans="1:15" ht="15.75" x14ac:dyDescent="0.25">
      <c r="A343" s="14">
        <v>342</v>
      </c>
      <c r="B343" s="15">
        <v>63001472</v>
      </c>
      <c r="C343" s="16" t="s">
        <v>175</v>
      </c>
      <c r="D343" s="16" t="s">
        <v>176</v>
      </c>
      <c r="E343" s="14" t="s">
        <v>155</v>
      </c>
      <c r="F343" s="15">
        <v>20</v>
      </c>
      <c r="G343" s="15">
        <v>880683011641</v>
      </c>
      <c r="H343" s="18">
        <v>46204</v>
      </c>
      <c r="I343" s="18">
        <v>46203</v>
      </c>
      <c r="J343" s="18">
        <v>46232</v>
      </c>
      <c r="K343" s="18">
        <v>46233</v>
      </c>
      <c r="L343" s="15">
        <v>30</v>
      </c>
      <c r="M343" s="14" t="s">
        <v>19</v>
      </c>
      <c r="N343" s="14" t="s">
        <v>165</v>
      </c>
      <c r="O343" s="20" t="s">
        <v>542</v>
      </c>
    </row>
    <row r="344" spans="1:15" ht="15.75" x14ac:dyDescent="0.25">
      <c r="A344" s="14">
        <v>343</v>
      </c>
      <c r="B344" s="15">
        <v>63030548</v>
      </c>
      <c r="C344" s="16" t="s">
        <v>384</v>
      </c>
      <c r="D344" s="16" t="s">
        <v>209</v>
      </c>
      <c r="E344" s="14" t="s">
        <v>155</v>
      </c>
      <c r="F344" s="15">
        <v>20</v>
      </c>
      <c r="G344" s="15">
        <v>951020010564</v>
      </c>
      <c r="H344" s="18">
        <v>46204</v>
      </c>
      <c r="I344" s="18">
        <v>46201</v>
      </c>
      <c r="J344" s="18">
        <v>46201</v>
      </c>
      <c r="K344" s="18">
        <v>46202</v>
      </c>
      <c r="L344" s="15">
        <v>1</v>
      </c>
      <c r="M344" s="14" t="s">
        <v>19</v>
      </c>
      <c r="N344" s="14" t="s">
        <v>157</v>
      </c>
      <c r="O344" s="20" t="s">
        <v>542</v>
      </c>
    </row>
    <row r="345" spans="1:15" ht="15.75" x14ac:dyDescent="0.25">
      <c r="A345" s="14">
        <v>344</v>
      </c>
      <c r="B345" s="15">
        <v>63043576</v>
      </c>
      <c r="C345" s="16" t="s">
        <v>288</v>
      </c>
      <c r="D345" s="16" t="s">
        <v>164</v>
      </c>
      <c r="E345" s="14" t="s">
        <v>161</v>
      </c>
      <c r="F345" s="15">
        <v>21</v>
      </c>
      <c r="G345" s="15">
        <v>21623001872</v>
      </c>
      <c r="H345" s="18">
        <v>46204</v>
      </c>
      <c r="I345" s="18">
        <v>46201</v>
      </c>
      <c r="J345" s="18">
        <v>46201</v>
      </c>
      <c r="K345" s="18">
        <v>46202</v>
      </c>
      <c r="L345" s="15">
        <v>1</v>
      </c>
      <c r="M345" s="14" t="s">
        <v>19</v>
      </c>
      <c r="N345" s="14" t="s">
        <v>157</v>
      </c>
      <c r="O345" s="20" t="s">
        <v>542</v>
      </c>
    </row>
    <row r="346" spans="1:15" ht="15.75" x14ac:dyDescent="0.25">
      <c r="A346" s="14">
        <v>345</v>
      </c>
      <c r="B346" s="15">
        <v>63001537</v>
      </c>
      <c r="C346" s="16" t="s">
        <v>331</v>
      </c>
      <c r="D346" s="16" t="s">
        <v>167</v>
      </c>
      <c r="E346" s="14" t="s">
        <v>161</v>
      </c>
      <c r="F346" s="15"/>
      <c r="G346" s="15">
        <v>870155038339</v>
      </c>
      <c r="H346" s="18">
        <v>46204</v>
      </c>
      <c r="I346" s="18">
        <v>46204</v>
      </c>
      <c r="J346" s="18">
        <v>46204</v>
      </c>
      <c r="K346" s="18">
        <v>46205</v>
      </c>
      <c r="L346" s="15">
        <v>1</v>
      </c>
      <c r="M346" s="14" t="s">
        <v>19</v>
      </c>
      <c r="N346" s="14" t="s">
        <v>157</v>
      </c>
      <c r="O346" s="20" t="s">
        <v>542</v>
      </c>
    </row>
    <row r="347" spans="1:15" ht="15.75" x14ac:dyDescent="0.25">
      <c r="A347" s="14">
        <v>346</v>
      </c>
      <c r="B347" s="15">
        <v>63001827</v>
      </c>
      <c r="C347" s="16" t="s">
        <v>179</v>
      </c>
      <c r="D347" s="16" t="s">
        <v>178</v>
      </c>
      <c r="E347" s="14" t="s">
        <v>155</v>
      </c>
      <c r="F347" s="15">
        <v>20</v>
      </c>
      <c r="G347" s="15">
        <v>670466005048</v>
      </c>
      <c r="H347" s="18">
        <v>46204</v>
      </c>
      <c r="I347" s="18">
        <v>46201</v>
      </c>
      <c r="J347" s="18">
        <v>46202</v>
      </c>
      <c r="K347" s="18">
        <v>46203</v>
      </c>
      <c r="L347" s="15">
        <v>2</v>
      </c>
      <c r="M347" s="14" t="s">
        <v>19</v>
      </c>
      <c r="N347" s="14" t="s">
        <v>157</v>
      </c>
      <c r="O347" s="20" t="s">
        <v>542</v>
      </c>
    </row>
    <row r="348" spans="1:15" ht="15.75" x14ac:dyDescent="0.25">
      <c r="A348" s="14">
        <v>347</v>
      </c>
      <c r="B348" s="15">
        <v>63001368</v>
      </c>
      <c r="C348" s="16" t="s">
        <v>385</v>
      </c>
      <c r="D348" s="16" t="s">
        <v>386</v>
      </c>
      <c r="E348" s="14" t="s">
        <v>161</v>
      </c>
      <c r="F348" s="15"/>
      <c r="G348" s="15">
        <v>830931008246</v>
      </c>
      <c r="H348" s="18">
        <v>46204</v>
      </c>
      <c r="I348" s="18">
        <v>46197</v>
      </c>
      <c r="J348" s="18">
        <v>46204</v>
      </c>
      <c r="K348" s="18">
        <v>46205</v>
      </c>
      <c r="L348" s="15">
        <v>8</v>
      </c>
      <c r="M348" s="14" t="s">
        <v>19</v>
      </c>
      <c r="N348" s="14" t="s">
        <v>157</v>
      </c>
      <c r="O348" s="20" t="s">
        <v>542</v>
      </c>
    </row>
    <row r="349" spans="1:15" ht="15.75" x14ac:dyDescent="0.25">
      <c r="A349" s="14">
        <v>348</v>
      </c>
      <c r="B349" s="15">
        <v>63001807</v>
      </c>
      <c r="C349" s="16" t="s">
        <v>241</v>
      </c>
      <c r="D349" s="16" t="s">
        <v>176</v>
      </c>
      <c r="E349" s="14" t="s">
        <v>155</v>
      </c>
      <c r="F349" s="15">
        <v>20</v>
      </c>
      <c r="G349" s="15">
        <v>973398000633</v>
      </c>
      <c r="H349" s="18">
        <v>46204</v>
      </c>
      <c r="I349" s="18">
        <v>46204</v>
      </c>
      <c r="J349" s="18">
        <v>46233</v>
      </c>
      <c r="K349" s="18">
        <v>46234</v>
      </c>
      <c r="L349" s="15">
        <v>30</v>
      </c>
      <c r="M349" s="14" t="s">
        <v>19</v>
      </c>
      <c r="N349" s="14" t="s">
        <v>157</v>
      </c>
      <c r="O349" s="20" t="s">
        <v>158</v>
      </c>
    </row>
    <row r="350" spans="1:15" ht="15.75" x14ac:dyDescent="0.25">
      <c r="A350" s="14">
        <v>349</v>
      </c>
      <c r="B350" s="15">
        <v>63001612</v>
      </c>
      <c r="C350" s="16" t="s">
        <v>252</v>
      </c>
      <c r="D350" s="16" t="s">
        <v>213</v>
      </c>
      <c r="E350" s="14" t="s">
        <v>161</v>
      </c>
      <c r="F350" s="15">
        <v>21</v>
      </c>
      <c r="G350" s="15">
        <v>940013049446</v>
      </c>
      <c r="H350" s="18">
        <v>46204</v>
      </c>
      <c r="I350" s="18">
        <v>46203</v>
      </c>
      <c r="J350" s="18">
        <v>46232</v>
      </c>
      <c r="K350" s="18">
        <v>46233</v>
      </c>
      <c r="L350" s="15">
        <v>30</v>
      </c>
      <c r="M350" s="14" t="s">
        <v>19</v>
      </c>
      <c r="N350" s="14" t="s">
        <v>165</v>
      </c>
      <c r="O350" s="20" t="s">
        <v>542</v>
      </c>
    </row>
    <row r="351" spans="1:15" ht="15.75" x14ac:dyDescent="0.25">
      <c r="A351" s="14">
        <v>350</v>
      </c>
      <c r="B351" s="15">
        <v>63001563</v>
      </c>
      <c r="C351" s="16" t="s">
        <v>311</v>
      </c>
      <c r="D351" s="16" t="s">
        <v>199</v>
      </c>
      <c r="E351" s="14" t="s">
        <v>161</v>
      </c>
      <c r="F351" s="15"/>
      <c r="G351" s="15">
        <v>920314016552</v>
      </c>
      <c r="H351" s="18">
        <v>46209</v>
      </c>
      <c r="I351" s="18">
        <v>46204</v>
      </c>
      <c r="J351" s="18">
        <v>46233</v>
      </c>
      <c r="K351" s="18">
        <v>46234</v>
      </c>
      <c r="L351" s="15">
        <v>30</v>
      </c>
      <c r="M351" s="14" t="s">
        <v>19</v>
      </c>
      <c r="N351" s="14" t="s">
        <v>157</v>
      </c>
      <c r="O351" s="20" t="s">
        <v>542</v>
      </c>
    </row>
    <row r="352" spans="1:15" ht="15.75" x14ac:dyDescent="0.25">
      <c r="A352" s="14">
        <v>351</v>
      </c>
      <c r="B352" s="15">
        <v>63001860</v>
      </c>
      <c r="C352" s="16" t="s">
        <v>333</v>
      </c>
      <c r="D352" s="16" t="s">
        <v>334</v>
      </c>
      <c r="E352" s="14" t="s">
        <v>161</v>
      </c>
      <c r="F352" s="15"/>
      <c r="G352" s="15">
        <v>722502001268</v>
      </c>
      <c r="H352" s="18">
        <v>46210</v>
      </c>
      <c r="I352" s="18">
        <v>46207</v>
      </c>
      <c r="J352" s="18">
        <v>46236</v>
      </c>
      <c r="K352" s="18">
        <v>46237</v>
      </c>
      <c r="L352" s="15">
        <v>30</v>
      </c>
      <c r="M352" s="14" t="s">
        <v>19</v>
      </c>
      <c r="N352" s="14" t="s">
        <v>165</v>
      </c>
      <c r="O352" s="20" t="s">
        <v>158</v>
      </c>
    </row>
    <row r="353" spans="1:15" ht="15.75" x14ac:dyDescent="0.25">
      <c r="A353" s="14">
        <v>352</v>
      </c>
      <c r="B353" s="15">
        <v>63001785</v>
      </c>
      <c r="C353" s="16" t="s">
        <v>340</v>
      </c>
      <c r="D353" s="16" t="s">
        <v>247</v>
      </c>
      <c r="E353" s="14" t="s">
        <v>155</v>
      </c>
      <c r="F353" s="15"/>
      <c r="G353" s="15">
        <v>958531000345</v>
      </c>
      <c r="H353" s="18">
        <v>46209</v>
      </c>
      <c r="I353" s="18">
        <v>46206</v>
      </c>
      <c r="J353" s="18">
        <v>46235</v>
      </c>
      <c r="K353" s="18">
        <v>46236</v>
      </c>
      <c r="L353" s="15">
        <v>30</v>
      </c>
      <c r="M353" s="14" t="s">
        <v>19</v>
      </c>
      <c r="N353" s="14" t="s">
        <v>165</v>
      </c>
      <c r="O353" s="20" t="s">
        <v>542</v>
      </c>
    </row>
    <row r="354" spans="1:15" ht="15.75" x14ac:dyDescent="0.25">
      <c r="A354" s="14">
        <v>353</v>
      </c>
      <c r="B354" s="15">
        <v>63001418</v>
      </c>
      <c r="C354" s="16" t="s">
        <v>1334</v>
      </c>
      <c r="D354" s="16" t="s">
        <v>189</v>
      </c>
      <c r="E354" s="14" t="s">
        <v>155</v>
      </c>
      <c r="F354" s="15"/>
      <c r="G354" s="15">
        <v>880725012252</v>
      </c>
      <c r="H354" s="18">
        <v>46209</v>
      </c>
      <c r="I354" s="18">
        <v>46203</v>
      </c>
      <c r="J354" s="18">
        <v>46203</v>
      </c>
      <c r="K354" s="18">
        <v>46204</v>
      </c>
      <c r="L354" s="15">
        <v>1</v>
      </c>
      <c r="M354" s="14" t="s">
        <v>19</v>
      </c>
      <c r="N354" s="14" t="s">
        <v>157</v>
      </c>
      <c r="O354" s="20" t="s">
        <v>542</v>
      </c>
    </row>
    <row r="355" spans="1:15" ht="15.75" x14ac:dyDescent="0.25">
      <c r="A355" s="14">
        <v>354</v>
      </c>
      <c r="B355" s="15">
        <v>63001337</v>
      </c>
      <c r="C355" s="16" t="s">
        <v>188</v>
      </c>
      <c r="D355" s="16" t="s">
        <v>189</v>
      </c>
      <c r="E355" s="14" t="s">
        <v>161</v>
      </c>
      <c r="F355" s="15">
        <v>22</v>
      </c>
      <c r="G355" s="15">
        <v>890042008543</v>
      </c>
      <c r="H355" s="18">
        <v>46209</v>
      </c>
      <c r="I355" s="18">
        <v>46205</v>
      </c>
      <c r="J355" s="18">
        <v>46234</v>
      </c>
      <c r="K355" s="18">
        <v>46235</v>
      </c>
      <c r="L355" s="15">
        <v>30</v>
      </c>
      <c r="M355" s="14" t="s">
        <v>19</v>
      </c>
      <c r="N355" s="14" t="s">
        <v>165</v>
      </c>
      <c r="O355" s="20" t="s">
        <v>542</v>
      </c>
    </row>
    <row r="356" spans="1:15" ht="15.75" x14ac:dyDescent="0.25">
      <c r="A356" s="14">
        <v>355</v>
      </c>
      <c r="B356" s="15">
        <v>63001907</v>
      </c>
      <c r="C356" s="16" t="s">
        <v>1335</v>
      </c>
      <c r="D356" s="16" t="s">
        <v>536</v>
      </c>
      <c r="E356" s="14" t="s">
        <v>161</v>
      </c>
      <c r="F356" s="15"/>
      <c r="G356" s="15">
        <v>753864000248</v>
      </c>
      <c r="H356" s="18">
        <v>46209</v>
      </c>
      <c r="I356" s="18">
        <v>46209</v>
      </c>
      <c r="J356" s="18">
        <v>46211</v>
      </c>
      <c r="K356" s="18">
        <v>46212</v>
      </c>
      <c r="L356" s="15">
        <v>3</v>
      </c>
      <c r="M356" s="14" t="s">
        <v>19</v>
      </c>
      <c r="N356" s="14" t="s">
        <v>157</v>
      </c>
      <c r="O356" s="20" t="s">
        <v>542</v>
      </c>
    </row>
    <row r="357" spans="1:15" ht="15.75" x14ac:dyDescent="0.25">
      <c r="A357" s="14">
        <v>356</v>
      </c>
      <c r="B357" s="15">
        <v>63001706</v>
      </c>
      <c r="C357" s="16" t="s">
        <v>374</v>
      </c>
      <c r="D357" s="16" t="s">
        <v>199</v>
      </c>
      <c r="E357" s="14" t="s">
        <v>161</v>
      </c>
      <c r="F357" s="15" t="e">
        <v>#N/A</v>
      </c>
      <c r="G357" s="15">
        <v>935371000842</v>
      </c>
      <c r="H357" s="18">
        <v>46209</v>
      </c>
      <c r="I357" s="18">
        <v>46203</v>
      </c>
      <c r="J357" s="18">
        <v>46232</v>
      </c>
      <c r="K357" s="18">
        <v>46233</v>
      </c>
      <c r="L357" s="15">
        <v>30</v>
      </c>
      <c r="M357" s="14" t="s">
        <v>19</v>
      </c>
      <c r="N357" s="14" t="s">
        <v>157</v>
      </c>
      <c r="O357" s="20" t="s">
        <v>542</v>
      </c>
    </row>
    <row r="358" spans="1:15" ht="15.75" x14ac:dyDescent="0.25">
      <c r="A358" s="14">
        <v>357</v>
      </c>
      <c r="B358" s="15">
        <v>63001414</v>
      </c>
      <c r="C358" s="16" t="s">
        <v>239</v>
      </c>
      <c r="D358" s="16" t="s">
        <v>176</v>
      </c>
      <c r="E358" s="14" t="s">
        <v>155</v>
      </c>
      <c r="F358" s="15">
        <v>20</v>
      </c>
      <c r="G358" s="15">
        <v>891357004638</v>
      </c>
      <c r="H358" s="18">
        <v>46210</v>
      </c>
      <c r="I358" s="18">
        <v>46209</v>
      </c>
      <c r="J358" s="18">
        <v>46230</v>
      </c>
      <c r="K358" s="18">
        <v>46231</v>
      </c>
      <c r="L358" s="15">
        <v>22</v>
      </c>
      <c r="M358" s="14" t="s">
        <v>19</v>
      </c>
      <c r="N358" s="14" t="s">
        <v>157</v>
      </c>
      <c r="O358" s="20" t="s">
        <v>542</v>
      </c>
    </row>
    <row r="359" spans="1:15" ht="15.75" x14ac:dyDescent="0.25">
      <c r="A359" s="14">
        <v>358</v>
      </c>
      <c r="B359" s="15">
        <v>63001577</v>
      </c>
      <c r="C359" s="16" t="s">
        <v>629</v>
      </c>
      <c r="D359" s="16" t="s">
        <v>194</v>
      </c>
      <c r="E359" s="14" t="s">
        <v>161</v>
      </c>
      <c r="F359" s="15">
        <v>21</v>
      </c>
      <c r="G359" s="15">
        <v>922382002050</v>
      </c>
      <c r="H359" s="18">
        <v>46212</v>
      </c>
      <c r="I359" s="18">
        <v>46210</v>
      </c>
      <c r="J359" s="18">
        <v>46239</v>
      </c>
      <c r="K359" s="18">
        <v>46240</v>
      </c>
      <c r="L359" s="15">
        <v>30</v>
      </c>
      <c r="M359" s="14" t="s">
        <v>19</v>
      </c>
      <c r="N359" s="14" t="s">
        <v>157</v>
      </c>
      <c r="O359" s="20" t="s">
        <v>542</v>
      </c>
    </row>
    <row r="360" spans="1:15" ht="15.75" x14ac:dyDescent="0.25">
      <c r="A360" s="14">
        <v>359</v>
      </c>
      <c r="B360" s="15">
        <v>63001698</v>
      </c>
      <c r="C360" s="16" t="s">
        <v>182</v>
      </c>
      <c r="D360" s="16" t="s">
        <v>183</v>
      </c>
      <c r="E360" s="14" t="s">
        <v>161</v>
      </c>
      <c r="F360" s="15">
        <v>22</v>
      </c>
      <c r="G360" s="15">
        <v>910461009738</v>
      </c>
      <c r="H360" s="18">
        <v>46212</v>
      </c>
      <c r="I360" s="18">
        <v>46210</v>
      </c>
      <c r="J360" s="18">
        <v>46212</v>
      </c>
      <c r="K360" s="18">
        <v>46213</v>
      </c>
      <c r="L360" s="15">
        <v>3</v>
      </c>
      <c r="M360" s="14" t="s">
        <v>19</v>
      </c>
      <c r="N360" s="14" t="s">
        <v>157</v>
      </c>
      <c r="O360" s="20" t="s">
        <v>542</v>
      </c>
    </row>
    <row r="361" spans="1:15" ht="15.75" x14ac:dyDescent="0.25">
      <c r="A361" s="14">
        <v>360</v>
      </c>
      <c r="B361" s="15">
        <v>63001903</v>
      </c>
      <c r="C361" s="16" t="s">
        <v>184</v>
      </c>
      <c r="D361" s="16" t="s">
        <v>185</v>
      </c>
      <c r="E361" s="14" t="s">
        <v>161</v>
      </c>
      <c r="F361" s="15">
        <v>21</v>
      </c>
      <c r="G361" s="15">
        <v>748614000152</v>
      </c>
      <c r="H361" s="18">
        <v>46212</v>
      </c>
      <c r="I361" s="18">
        <v>46210</v>
      </c>
      <c r="J361" s="18">
        <v>46210</v>
      </c>
      <c r="K361" s="18">
        <v>46211</v>
      </c>
      <c r="L361" s="15">
        <v>1</v>
      </c>
      <c r="M361" s="14" t="s">
        <v>19</v>
      </c>
      <c r="N361" s="14" t="s">
        <v>157</v>
      </c>
      <c r="O361" s="20" t="s">
        <v>542</v>
      </c>
    </row>
    <row r="362" spans="1:15" ht="15.75" x14ac:dyDescent="0.25">
      <c r="A362" s="14">
        <v>361</v>
      </c>
      <c r="B362" s="15">
        <v>63001543</v>
      </c>
      <c r="C362" s="16" t="s">
        <v>543</v>
      </c>
      <c r="D362" s="16" t="s">
        <v>194</v>
      </c>
      <c r="E362" s="14" t="s">
        <v>161</v>
      </c>
      <c r="F362" s="15"/>
      <c r="G362" s="15">
        <v>926304000555</v>
      </c>
      <c r="H362" s="18">
        <v>46212</v>
      </c>
      <c r="I362" s="18">
        <v>46209</v>
      </c>
      <c r="J362" s="18">
        <v>46212</v>
      </c>
      <c r="K362" s="18">
        <v>46213</v>
      </c>
      <c r="L362" s="15">
        <v>4</v>
      </c>
      <c r="M362" s="14" t="s">
        <v>19</v>
      </c>
      <c r="N362" s="14" t="s">
        <v>157</v>
      </c>
      <c r="O362" s="20" t="s">
        <v>2152</v>
      </c>
    </row>
    <row r="363" spans="1:15" ht="15.75" x14ac:dyDescent="0.25">
      <c r="A363" s="14">
        <v>362</v>
      </c>
      <c r="B363" s="15">
        <v>63001827</v>
      </c>
      <c r="C363" s="16" t="s">
        <v>705</v>
      </c>
      <c r="D363" s="16" t="s">
        <v>178</v>
      </c>
      <c r="E363" s="14" t="s">
        <v>155</v>
      </c>
      <c r="F363" s="15">
        <v>20</v>
      </c>
      <c r="G363" s="15">
        <v>670466005048</v>
      </c>
      <c r="H363" s="18">
        <v>46215</v>
      </c>
      <c r="I363" s="18">
        <v>46209</v>
      </c>
      <c r="J363" s="18">
        <v>46211</v>
      </c>
      <c r="K363" s="18">
        <v>46212</v>
      </c>
      <c r="L363" s="15">
        <v>3</v>
      </c>
      <c r="M363" s="14" t="s">
        <v>19</v>
      </c>
      <c r="N363" s="14" t="s">
        <v>157</v>
      </c>
      <c r="O363" s="20" t="s">
        <v>2152</v>
      </c>
    </row>
    <row r="364" spans="1:15" ht="15.75" x14ac:dyDescent="0.25">
      <c r="A364" s="14">
        <v>363</v>
      </c>
      <c r="B364" s="15">
        <v>63001401</v>
      </c>
      <c r="C364" s="16" t="s">
        <v>1250</v>
      </c>
      <c r="D364" s="16" t="s">
        <v>429</v>
      </c>
      <c r="E364" s="14" t="s">
        <v>155</v>
      </c>
      <c r="F364" s="15"/>
      <c r="G364" s="15">
        <v>850285004542</v>
      </c>
      <c r="H364" s="18">
        <v>46215</v>
      </c>
      <c r="I364" s="18">
        <v>46210</v>
      </c>
      <c r="J364" s="18">
        <v>46212</v>
      </c>
      <c r="K364" s="18">
        <v>46213</v>
      </c>
      <c r="L364" s="15">
        <v>3</v>
      </c>
      <c r="M364" s="14" t="s">
        <v>19</v>
      </c>
      <c r="N364" s="14" t="s">
        <v>157</v>
      </c>
      <c r="O364" s="20" t="s">
        <v>2152</v>
      </c>
    </row>
  </sheetData>
  <autoFilter ref="A1:O364" xr:uid="{BF639E49-0F94-4D67-8242-4DCF4F6CA5C2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44640-82F1-4CA0-A287-12B5E829D10C}">
  <sheetPr codeName="Sheet4"/>
  <dimension ref="A1:O46"/>
  <sheetViews>
    <sheetView workbookViewId="0">
      <pane ySplit="1" topLeftCell="A24" activePane="bottomLeft" state="frozen"/>
      <selection pane="bottomLeft" activeCell="A46" sqref="A46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34.140625" bestFit="1" customWidth="1"/>
    <col min="4" max="4" width="34.5703125" bestFit="1" customWidth="1"/>
    <col min="5" max="5" width="30.7109375" bestFit="1" customWidth="1"/>
    <col min="6" max="6" width="16" bestFit="1" customWidth="1"/>
    <col min="7" max="7" width="21.7109375" bestFit="1" customWidth="1"/>
    <col min="8" max="8" width="27.28515625" style="19" bestFit="1" customWidth="1"/>
    <col min="9" max="9" width="26.42578125" style="19" bestFit="1" customWidth="1"/>
    <col min="10" max="10" width="23" style="19" bestFit="1" customWidth="1"/>
    <col min="11" max="11" width="23.5703125" style="19" bestFit="1" customWidth="1"/>
    <col min="12" max="12" width="32.42578125" bestFit="1" customWidth="1"/>
    <col min="13" max="13" width="18" bestFit="1" customWidth="1"/>
    <col min="14" max="14" width="21.28515625" bestFit="1" customWidth="1"/>
    <col min="15" max="15" width="32.28515625" bestFit="1" customWidth="1"/>
  </cols>
  <sheetData>
    <row r="1" spans="1:15" s="11" customFormat="1" ht="24" thickTop="1" x14ac:dyDescent="0.35">
      <c r="A1" s="12" t="s">
        <v>138</v>
      </c>
      <c r="B1" s="12" t="s">
        <v>139</v>
      </c>
      <c r="C1" s="12" t="s">
        <v>140</v>
      </c>
      <c r="D1" s="12" t="s">
        <v>141</v>
      </c>
      <c r="E1" s="12" t="s">
        <v>142</v>
      </c>
      <c r="F1" s="12" t="s">
        <v>143</v>
      </c>
      <c r="G1" s="12" t="s">
        <v>144</v>
      </c>
      <c r="H1" s="17" t="s">
        <v>145</v>
      </c>
      <c r="I1" s="17" t="s">
        <v>146</v>
      </c>
      <c r="J1" s="17" t="s">
        <v>147</v>
      </c>
      <c r="K1" s="17" t="s">
        <v>148</v>
      </c>
      <c r="L1" s="12" t="s">
        <v>149</v>
      </c>
      <c r="M1" s="12" t="s">
        <v>150</v>
      </c>
      <c r="N1" s="12" t="s">
        <v>151</v>
      </c>
      <c r="O1" s="13" t="s">
        <v>152</v>
      </c>
    </row>
    <row r="2" spans="1:15" ht="15.75" x14ac:dyDescent="0.25">
      <c r="A2" s="14">
        <v>1</v>
      </c>
      <c r="B2" s="15">
        <v>63001504</v>
      </c>
      <c r="C2" s="16" t="s">
        <v>373</v>
      </c>
      <c r="D2" s="16" t="s">
        <v>196</v>
      </c>
      <c r="E2" s="14" t="s">
        <v>161</v>
      </c>
      <c r="F2" s="15"/>
      <c r="G2" s="15">
        <v>910153002854</v>
      </c>
      <c r="H2" s="18" t="s">
        <v>387</v>
      </c>
      <c r="I2" s="18" t="s">
        <v>388</v>
      </c>
      <c r="J2" s="18" t="s">
        <v>389</v>
      </c>
      <c r="K2" s="18" t="s">
        <v>390</v>
      </c>
      <c r="L2" s="15">
        <v>15</v>
      </c>
      <c r="M2" s="14" t="s">
        <v>19</v>
      </c>
      <c r="N2" s="14" t="s">
        <v>157</v>
      </c>
      <c r="O2" s="20" t="s">
        <v>158</v>
      </c>
    </row>
    <row r="3" spans="1:15" ht="15.75" x14ac:dyDescent="0.25">
      <c r="A3" s="14">
        <v>2</v>
      </c>
      <c r="B3" s="15">
        <v>63001956</v>
      </c>
      <c r="C3" s="16" t="s">
        <v>168</v>
      </c>
      <c r="D3" s="16" t="s">
        <v>169</v>
      </c>
      <c r="E3" s="14" t="s">
        <v>161</v>
      </c>
      <c r="F3" s="15">
        <v>23</v>
      </c>
      <c r="G3" s="15">
        <v>843525002352</v>
      </c>
      <c r="H3" s="18">
        <v>46028</v>
      </c>
      <c r="I3" s="18">
        <v>46028</v>
      </c>
      <c r="J3" s="18">
        <v>46177</v>
      </c>
      <c r="K3" s="18">
        <v>46178</v>
      </c>
      <c r="L3" s="15">
        <v>150</v>
      </c>
      <c r="M3" s="14" t="s">
        <v>156</v>
      </c>
      <c r="N3" s="14" t="s">
        <v>157</v>
      </c>
      <c r="O3" s="20" t="s">
        <v>158</v>
      </c>
    </row>
    <row r="4" spans="1:15" ht="15.75" x14ac:dyDescent="0.25">
      <c r="A4" s="14">
        <v>3</v>
      </c>
      <c r="B4" s="15">
        <v>63001595</v>
      </c>
      <c r="C4" s="16" t="s">
        <v>322</v>
      </c>
      <c r="D4" s="16" t="s">
        <v>164</v>
      </c>
      <c r="E4" s="14" t="s">
        <v>161</v>
      </c>
      <c r="F4" s="15"/>
      <c r="G4" s="15">
        <v>907576000141</v>
      </c>
      <c r="H4" s="18">
        <v>46111</v>
      </c>
      <c r="I4" s="18">
        <v>46110</v>
      </c>
      <c r="J4" s="18">
        <v>46199</v>
      </c>
      <c r="K4" s="18">
        <v>46200</v>
      </c>
      <c r="L4" s="15">
        <v>90</v>
      </c>
      <c r="M4" s="14" t="s">
        <v>19</v>
      </c>
      <c r="N4" s="14" t="s">
        <v>157</v>
      </c>
      <c r="O4" s="20" t="s">
        <v>158</v>
      </c>
    </row>
    <row r="5" spans="1:15" ht="15.75" x14ac:dyDescent="0.25">
      <c r="A5" s="14">
        <v>4</v>
      </c>
      <c r="B5" s="15">
        <v>63001528</v>
      </c>
      <c r="C5" s="16" t="s">
        <v>303</v>
      </c>
      <c r="D5" s="16" t="s">
        <v>176</v>
      </c>
      <c r="E5" s="14" t="s">
        <v>161</v>
      </c>
      <c r="F5" s="15"/>
      <c r="G5" s="15">
        <v>931118003554</v>
      </c>
      <c r="H5" s="18">
        <v>46106</v>
      </c>
      <c r="I5" s="18">
        <v>46097</v>
      </c>
      <c r="J5" s="18">
        <v>46246</v>
      </c>
      <c r="K5" s="18">
        <v>46247</v>
      </c>
      <c r="L5" s="15">
        <v>150</v>
      </c>
      <c r="M5" s="14" t="s">
        <v>156</v>
      </c>
      <c r="N5" s="14" t="s">
        <v>157</v>
      </c>
      <c r="O5" s="20" t="s">
        <v>158</v>
      </c>
    </row>
    <row r="6" spans="1:15" ht="15.75" x14ac:dyDescent="0.25">
      <c r="A6" s="14">
        <v>5</v>
      </c>
      <c r="B6" s="15">
        <v>63001592</v>
      </c>
      <c r="C6" s="16" t="s">
        <v>264</v>
      </c>
      <c r="D6" s="16" t="s">
        <v>178</v>
      </c>
      <c r="E6" s="14" t="s">
        <v>155</v>
      </c>
      <c r="F6" s="15">
        <v>20</v>
      </c>
      <c r="G6" s="15">
        <v>884731001447</v>
      </c>
      <c r="H6" s="18">
        <v>46124</v>
      </c>
      <c r="I6" s="18">
        <v>46124</v>
      </c>
      <c r="J6" s="18">
        <v>46273</v>
      </c>
      <c r="K6" s="18">
        <v>46274</v>
      </c>
      <c r="L6" s="15">
        <v>150</v>
      </c>
      <c r="M6" s="14" t="s">
        <v>156</v>
      </c>
      <c r="N6" s="14" t="s">
        <v>157</v>
      </c>
      <c r="O6" s="20" t="s">
        <v>158</v>
      </c>
    </row>
    <row r="7" spans="1:15" ht="15.75" x14ac:dyDescent="0.25">
      <c r="A7" s="14">
        <v>6</v>
      </c>
      <c r="B7" s="15">
        <v>63001860</v>
      </c>
      <c r="C7" s="16" t="s">
        <v>333</v>
      </c>
      <c r="D7" s="16" t="s">
        <v>334</v>
      </c>
      <c r="E7" s="14" t="s">
        <v>161</v>
      </c>
      <c r="F7" s="15"/>
      <c r="G7" s="15">
        <v>722502001268</v>
      </c>
      <c r="H7" s="18">
        <v>46135</v>
      </c>
      <c r="I7" s="18">
        <v>46132</v>
      </c>
      <c r="J7" s="18">
        <v>46141</v>
      </c>
      <c r="K7" s="18">
        <v>46142</v>
      </c>
      <c r="L7" s="15">
        <v>10</v>
      </c>
      <c r="M7" s="14" t="s">
        <v>19</v>
      </c>
      <c r="N7" s="14" t="s">
        <v>157</v>
      </c>
      <c r="O7" s="20" t="s">
        <v>158</v>
      </c>
    </row>
    <row r="8" spans="1:15" ht="15.75" x14ac:dyDescent="0.25">
      <c r="A8" s="14">
        <v>7</v>
      </c>
      <c r="B8" s="15">
        <v>63001860</v>
      </c>
      <c r="C8" s="16" t="s">
        <v>333</v>
      </c>
      <c r="D8" s="16" t="s">
        <v>334</v>
      </c>
      <c r="E8" s="14" t="s">
        <v>161</v>
      </c>
      <c r="F8" s="15"/>
      <c r="G8" s="15">
        <v>722502001268</v>
      </c>
      <c r="H8" s="18">
        <v>46142</v>
      </c>
      <c r="I8" s="18">
        <v>46142</v>
      </c>
      <c r="J8" s="18">
        <v>46162</v>
      </c>
      <c r="K8" s="18">
        <v>46163</v>
      </c>
      <c r="L8" s="15">
        <v>21</v>
      </c>
      <c r="M8" s="14" t="s">
        <v>19</v>
      </c>
      <c r="N8" s="14" t="s">
        <v>157</v>
      </c>
      <c r="O8" s="20" t="s">
        <v>158</v>
      </c>
    </row>
    <row r="9" spans="1:15" ht="15.75" x14ac:dyDescent="0.25">
      <c r="A9" s="14">
        <v>8</v>
      </c>
      <c r="B9" s="15">
        <v>63001860</v>
      </c>
      <c r="C9" s="16" t="s">
        <v>333</v>
      </c>
      <c r="D9" s="16" t="s">
        <v>334</v>
      </c>
      <c r="E9" s="14" t="s">
        <v>161</v>
      </c>
      <c r="F9" s="15"/>
      <c r="G9" s="15">
        <v>722502001268</v>
      </c>
      <c r="H9" s="18" t="s">
        <v>387</v>
      </c>
      <c r="I9" s="18" t="s">
        <v>391</v>
      </c>
      <c r="J9" s="18" t="s">
        <v>392</v>
      </c>
      <c r="K9" s="18" t="s">
        <v>393</v>
      </c>
      <c r="L9" s="15">
        <v>15</v>
      </c>
      <c r="M9" s="14" t="s">
        <v>19</v>
      </c>
      <c r="N9" s="14" t="s">
        <v>165</v>
      </c>
      <c r="O9" s="20" t="s">
        <v>158</v>
      </c>
    </row>
    <row r="10" spans="1:15" ht="15.75" x14ac:dyDescent="0.25">
      <c r="A10" s="14">
        <v>9</v>
      </c>
      <c r="B10" s="15">
        <v>63001860</v>
      </c>
      <c r="C10" s="16" t="s">
        <v>333</v>
      </c>
      <c r="D10" s="16" t="s">
        <v>334</v>
      </c>
      <c r="E10" s="14" t="s">
        <v>161</v>
      </c>
      <c r="F10" s="15"/>
      <c r="G10" s="15">
        <v>722502001268</v>
      </c>
      <c r="H10" s="18">
        <v>46180</v>
      </c>
      <c r="I10" s="18">
        <v>46178</v>
      </c>
      <c r="J10" s="18">
        <v>46206</v>
      </c>
      <c r="K10" s="18">
        <v>46207</v>
      </c>
      <c r="L10" s="15">
        <v>29</v>
      </c>
      <c r="M10" s="14" t="s">
        <v>19</v>
      </c>
      <c r="N10" s="14" t="s">
        <v>165</v>
      </c>
      <c r="O10" s="20" t="s">
        <v>158</v>
      </c>
    </row>
    <row r="11" spans="1:15" ht="15.75" x14ac:dyDescent="0.25">
      <c r="A11" s="14">
        <v>10</v>
      </c>
      <c r="B11" s="15">
        <v>63012526</v>
      </c>
      <c r="C11" s="16" t="s">
        <v>271</v>
      </c>
      <c r="D11" s="16" t="s">
        <v>272</v>
      </c>
      <c r="E11" s="14" t="s">
        <v>161</v>
      </c>
      <c r="F11" s="15"/>
      <c r="G11" s="15">
        <v>928199000233</v>
      </c>
      <c r="H11" s="18">
        <v>46154</v>
      </c>
      <c r="I11" s="18">
        <v>46153</v>
      </c>
      <c r="J11" s="18">
        <v>46302</v>
      </c>
      <c r="K11" s="18">
        <v>46303</v>
      </c>
      <c r="L11" s="15">
        <v>150</v>
      </c>
      <c r="M11" s="14" t="s">
        <v>156</v>
      </c>
      <c r="N11" s="14" t="s">
        <v>157</v>
      </c>
      <c r="O11" s="20" t="s">
        <v>158</v>
      </c>
    </row>
    <row r="12" spans="1:15" ht="15.75" x14ac:dyDescent="0.25">
      <c r="A12" s="14">
        <v>11</v>
      </c>
      <c r="B12" s="15">
        <v>63001807</v>
      </c>
      <c r="C12" s="16" t="s">
        <v>241</v>
      </c>
      <c r="D12" s="16" t="s">
        <v>176</v>
      </c>
      <c r="E12" s="14" t="s">
        <v>155</v>
      </c>
      <c r="F12" s="15">
        <v>20</v>
      </c>
      <c r="G12" s="15">
        <v>973398000633</v>
      </c>
      <c r="H12" s="18">
        <v>46062</v>
      </c>
      <c r="I12" s="18">
        <v>46057</v>
      </c>
      <c r="J12" s="18">
        <v>46058</v>
      </c>
      <c r="K12" s="18">
        <v>46059</v>
      </c>
      <c r="L12" s="15">
        <v>2</v>
      </c>
      <c r="M12" s="14" t="s">
        <v>19</v>
      </c>
      <c r="N12" s="14" t="s">
        <v>157</v>
      </c>
      <c r="O12" s="20" t="s">
        <v>158</v>
      </c>
    </row>
    <row r="13" spans="1:15" ht="15.75" x14ac:dyDescent="0.25">
      <c r="A13" s="14">
        <v>12</v>
      </c>
      <c r="B13" s="15">
        <v>63001807</v>
      </c>
      <c r="C13" s="16" t="s">
        <v>241</v>
      </c>
      <c r="D13" s="16" t="s">
        <v>176</v>
      </c>
      <c r="E13" s="14" t="s">
        <v>155</v>
      </c>
      <c r="F13" s="15">
        <v>20</v>
      </c>
      <c r="G13" s="15">
        <v>973398000633</v>
      </c>
      <c r="H13" s="18">
        <v>46062</v>
      </c>
      <c r="I13" s="18">
        <v>46059</v>
      </c>
      <c r="J13" s="18">
        <v>46066</v>
      </c>
      <c r="K13" s="18">
        <v>46067</v>
      </c>
      <c r="L13" s="15">
        <v>8</v>
      </c>
      <c r="M13" s="14" t="s">
        <v>19</v>
      </c>
      <c r="N13" s="14" t="s">
        <v>165</v>
      </c>
      <c r="O13" s="20" t="s">
        <v>158</v>
      </c>
    </row>
    <row r="14" spans="1:15" ht="15.75" x14ac:dyDescent="0.25">
      <c r="A14" s="14">
        <v>13</v>
      </c>
      <c r="B14" s="15">
        <v>63001807</v>
      </c>
      <c r="C14" s="16" t="s">
        <v>241</v>
      </c>
      <c r="D14" s="16" t="s">
        <v>176</v>
      </c>
      <c r="E14" s="14" t="s">
        <v>155</v>
      </c>
      <c r="F14" s="15">
        <v>20</v>
      </c>
      <c r="G14" s="15">
        <v>973398000633</v>
      </c>
      <c r="H14" s="18">
        <v>46068</v>
      </c>
      <c r="I14" s="18">
        <v>46067</v>
      </c>
      <c r="J14" s="18">
        <v>46072</v>
      </c>
      <c r="K14" s="18">
        <v>46073</v>
      </c>
      <c r="L14" s="15">
        <v>6</v>
      </c>
      <c r="M14" s="14" t="s">
        <v>19</v>
      </c>
      <c r="N14" s="14" t="s">
        <v>165</v>
      </c>
      <c r="O14" s="20" t="s">
        <v>158</v>
      </c>
    </row>
    <row r="15" spans="1:15" ht="15.75" x14ac:dyDescent="0.25">
      <c r="A15" s="14">
        <v>14</v>
      </c>
      <c r="B15" s="15">
        <v>63001807</v>
      </c>
      <c r="C15" s="16" t="s">
        <v>241</v>
      </c>
      <c r="D15" s="16" t="s">
        <v>176</v>
      </c>
      <c r="E15" s="14" t="s">
        <v>155</v>
      </c>
      <c r="F15" s="15">
        <v>20</v>
      </c>
      <c r="G15" s="15">
        <v>973398000633</v>
      </c>
      <c r="H15" s="18">
        <v>46075</v>
      </c>
      <c r="I15" s="18">
        <v>46073</v>
      </c>
      <c r="J15" s="18">
        <v>46100</v>
      </c>
      <c r="K15" s="18">
        <v>46101</v>
      </c>
      <c r="L15" s="15">
        <v>28</v>
      </c>
      <c r="M15" s="14" t="s">
        <v>19</v>
      </c>
      <c r="N15" s="14" t="s">
        <v>157</v>
      </c>
      <c r="O15" s="20" t="s">
        <v>162</v>
      </c>
    </row>
    <row r="16" spans="1:15" ht="15.75" x14ac:dyDescent="0.25">
      <c r="A16" s="14">
        <v>15</v>
      </c>
      <c r="B16" s="15">
        <v>63001807</v>
      </c>
      <c r="C16" s="16" t="s">
        <v>241</v>
      </c>
      <c r="D16" s="16" t="s">
        <v>176</v>
      </c>
      <c r="E16" s="14" t="s">
        <v>155</v>
      </c>
      <c r="F16" s="15">
        <v>20</v>
      </c>
      <c r="G16" s="15">
        <v>973398000633</v>
      </c>
      <c r="H16" s="18">
        <v>45740</v>
      </c>
      <c r="I16" s="18">
        <v>46101</v>
      </c>
      <c r="J16" s="18">
        <v>46130</v>
      </c>
      <c r="K16" s="18">
        <v>46131</v>
      </c>
      <c r="L16" s="15">
        <v>30</v>
      </c>
      <c r="M16" s="14" t="s">
        <v>19</v>
      </c>
      <c r="N16" s="14" t="s">
        <v>157</v>
      </c>
      <c r="O16" s="20" t="s">
        <v>158</v>
      </c>
    </row>
    <row r="17" spans="1:15" ht="15.75" x14ac:dyDescent="0.25">
      <c r="A17" s="14">
        <v>16</v>
      </c>
      <c r="B17" s="15">
        <v>63001807</v>
      </c>
      <c r="C17" s="16" t="s">
        <v>241</v>
      </c>
      <c r="D17" s="16" t="s">
        <v>176</v>
      </c>
      <c r="E17" s="14" t="s">
        <v>155</v>
      </c>
      <c r="F17" s="15">
        <v>20</v>
      </c>
      <c r="G17" s="15">
        <v>973398000633</v>
      </c>
      <c r="H17" s="18">
        <v>46135</v>
      </c>
      <c r="I17" s="18">
        <v>46131</v>
      </c>
      <c r="J17" s="18">
        <v>46142</v>
      </c>
      <c r="K17" s="18">
        <v>46143</v>
      </c>
      <c r="L17" s="15">
        <v>12</v>
      </c>
      <c r="M17" s="14" t="s">
        <v>19</v>
      </c>
      <c r="N17" s="14" t="s">
        <v>157</v>
      </c>
      <c r="O17" s="20" t="s">
        <v>158</v>
      </c>
    </row>
    <row r="18" spans="1:15" ht="15.75" x14ac:dyDescent="0.25">
      <c r="A18" s="14">
        <v>17</v>
      </c>
      <c r="B18" s="15">
        <v>63001807</v>
      </c>
      <c r="C18" s="16" t="s">
        <v>241</v>
      </c>
      <c r="D18" s="16" t="s">
        <v>176</v>
      </c>
      <c r="E18" s="14" t="s">
        <v>155</v>
      </c>
      <c r="F18" s="15">
        <v>20</v>
      </c>
      <c r="G18" s="15">
        <v>973398000633</v>
      </c>
      <c r="H18" s="18">
        <v>46146</v>
      </c>
      <c r="I18" s="18">
        <v>46143</v>
      </c>
      <c r="J18" s="18">
        <v>46173</v>
      </c>
      <c r="K18" s="18">
        <v>46174</v>
      </c>
      <c r="L18" s="15">
        <v>31</v>
      </c>
      <c r="M18" s="14" t="s">
        <v>19</v>
      </c>
      <c r="N18" s="14" t="s">
        <v>165</v>
      </c>
      <c r="O18" s="20" t="s">
        <v>158</v>
      </c>
    </row>
    <row r="19" spans="1:15" ht="15.75" x14ac:dyDescent="0.25">
      <c r="A19" s="14">
        <v>18</v>
      </c>
      <c r="B19" s="15">
        <v>63001807</v>
      </c>
      <c r="C19" s="16" t="s">
        <v>241</v>
      </c>
      <c r="D19" s="16" t="s">
        <v>176</v>
      </c>
      <c r="E19" s="14" t="s">
        <v>155</v>
      </c>
      <c r="F19" s="15">
        <v>20</v>
      </c>
      <c r="G19" s="15">
        <v>973398000633</v>
      </c>
      <c r="H19" s="18" t="s">
        <v>387</v>
      </c>
      <c r="I19" s="18" t="s">
        <v>394</v>
      </c>
      <c r="J19" s="18" t="s">
        <v>395</v>
      </c>
      <c r="K19" s="18" t="s">
        <v>396</v>
      </c>
      <c r="L19" s="15">
        <v>30</v>
      </c>
      <c r="M19" s="14" t="s">
        <v>19</v>
      </c>
      <c r="N19" s="14" t="s">
        <v>165</v>
      </c>
      <c r="O19" s="20" t="s">
        <v>158</v>
      </c>
    </row>
    <row r="20" spans="1:15" ht="15.75" x14ac:dyDescent="0.25">
      <c r="A20" s="14">
        <v>19</v>
      </c>
      <c r="B20" s="15">
        <v>63001719</v>
      </c>
      <c r="C20" s="16" t="s">
        <v>163</v>
      </c>
      <c r="D20" s="16" t="s">
        <v>164</v>
      </c>
      <c r="E20" s="14" t="s">
        <v>161</v>
      </c>
      <c r="F20" s="15">
        <v>22</v>
      </c>
      <c r="G20" s="15">
        <v>922129005348</v>
      </c>
      <c r="H20" s="18">
        <v>46028</v>
      </c>
      <c r="I20" s="18">
        <v>46026</v>
      </c>
      <c r="J20" s="18">
        <v>46040</v>
      </c>
      <c r="K20" s="18">
        <v>46041</v>
      </c>
      <c r="L20" s="15">
        <v>15</v>
      </c>
      <c r="M20" s="14" t="s">
        <v>19</v>
      </c>
      <c r="N20" s="14" t="s">
        <v>165</v>
      </c>
      <c r="O20" s="20" t="s">
        <v>158</v>
      </c>
    </row>
    <row r="21" spans="1:15" ht="15.75" x14ac:dyDescent="0.25">
      <c r="A21" s="14">
        <v>20</v>
      </c>
      <c r="B21" s="15">
        <v>63001719</v>
      </c>
      <c r="C21" s="16" t="s">
        <v>163</v>
      </c>
      <c r="D21" s="16" t="s">
        <v>164</v>
      </c>
      <c r="E21" s="14" t="s">
        <v>161</v>
      </c>
      <c r="F21" s="15">
        <v>22</v>
      </c>
      <c r="G21" s="15">
        <v>922129005348</v>
      </c>
      <c r="H21" s="18">
        <v>46079</v>
      </c>
      <c r="I21" s="18">
        <v>46077</v>
      </c>
      <c r="J21" s="18">
        <v>46106</v>
      </c>
      <c r="K21" s="18">
        <v>46107</v>
      </c>
      <c r="L21" s="15">
        <v>30</v>
      </c>
      <c r="M21" s="14" t="s">
        <v>19</v>
      </c>
      <c r="N21" s="14" t="s">
        <v>165</v>
      </c>
      <c r="O21" s="20" t="s">
        <v>158</v>
      </c>
    </row>
    <row r="22" spans="1:15" ht="15.75" x14ac:dyDescent="0.25">
      <c r="A22" s="14">
        <v>21</v>
      </c>
      <c r="B22" s="15">
        <v>63001719</v>
      </c>
      <c r="C22" s="16" t="s">
        <v>163</v>
      </c>
      <c r="D22" s="16" t="s">
        <v>164</v>
      </c>
      <c r="E22" s="14" t="s">
        <v>161</v>
      </c>
      <c r="F22" s="15">
        <v>22</v>
      </c>
      <c r="G22" s="15">
        <v>922129005348</v>
      </c>
      <c r="H22" s="18">
        <v>46042</v>
      </c>
      <c r="I22" s="18">
        <v>46041</v>
      </c>
      <c r="J22" s="18">
        <v>46055</v>
      </c>
      <c r="K22" s="18">
        <v>46056</v>
      </c>
      <c r="L22" s="15">
        <v>15</v>
      </c>
      <c r="M22" s="14" t="s">
        <v>19</v>
      </c>
      <c r="N22" s="14" t="s">
        <v>165</v>
      </c>
      <c r="O22" s="20" t="s">
        <v>158</v>
      </c>
    </row>
    <row r="23" spans="1:15" ht="15.75" x14ac:dyDescent="0.25">
      <c r="A23" s="14">
        <v>22</v>
      </c>
      <c r="B23" s="15">
        <v>63001677</v>
      </c>
      <c r="C23" s="16" t="s">
        <v>345</v>
      </c>
      <c r="D23" s="16" t="s">
        <v>346</v>
      </c>
      <c r="E23" s="14" t="s">
        <v>161</v>
      </c>
      <c r="F23" s="15"/>
      <c r="G23" s="15">
        <v>932791003339</v>
      </c>
      <c r="H23" s="18">
        <v>46020</v>
      </c>
      <c r="I23" s="18">
        <v>46007</v>
      </c>
      <c r="J23" s="18">
        <v>46156</v>
      </c>
      <c r="K23" s="18">
        <v>46157</v>
      </c>
      <c r="L23" s="15">
        <v>150</v>
      </c>
      <c r="M23" s="14" t="s">
        <v>156</v>
      </c>
      <c r="N23" s="14" t="s">
        <v>157</v>
      </c>
      <c r="O23" s="20" t="s">
        <v>158</v>
      </c>
    </row>
    <row r="24" spans="1:15" ht="15.75" x14ac:dyDescent="0.25">
      <c r="A24" s="14">
        <v>23</v>
      </c>
      <c r="B24" s="15">
        <v>63001940</v>
      </c>
      <c r="C24" s="16" t="s">
        <v>211</v>
      </c>
      <c r="D24" s="16" t="s">
        <v>185</v>
      </c>
      <c r="E24" s="14" t="s">
        <v>155</v>
      </c>
      <c r="F24" s="15">
        <v>21</v>
      </c>
      <c r="G24" s="15">
        <v>800625010760</v>
      </c>
      <c r="H24" s="18">
        <v>46142</v>
      </c>
      <c r="I24" s="18">
        <v>46141</v>
      </c>
      <c r="J24" s="18">
        <v>46154</v>
      </c>
      <c r="K24" s="18">
        <v>46155</v>
      </c>
      <c r="L24" s="15">
        <v>14</v>
      </c>
      <c r="M24" s="14" t="s">
        <v>19</v>
      </c>
      <c r="N24" s="14" t="s">
        <v>157</v>
      </c>
      <c r="O24" s="20" t="s">
        <v>158</v>
      </c>
    </row>
    <row r="25" spans="1:15" ht="15.75" x14ac:dyDescent="0.25">
      <c r="A25" s="14">
        <v>24</v>
      </c>
      <c r="B25" s="15">
        <v>63001854</v>
      </c>
      <c r="C25" s="16" t="s">
        <v>280</v>
      </c>
      <c r="D25" s="16" t="s">
        <v>281</v>
      </c>
      <c r="E25" s="14" t="s">
        <v>161</v>
      </c>
      <c r="F25" s="15"/>
      <c r="G25" s="15">
        <v>708755000344</v>
      </c>
      <c r="H25" s="18">
        <v>46086</v>
      </c>
      <c r="I25" s="18">
        <v>46086</v>
      </c>
      <c r="J25" s="18">
        <v>46086</v>
      </c>
      <c r="K25" s="18">
        <v>46087</v>
      </c>
      <c r="L25" s="15">
        <v>1</v>
      </c>
      <c r="M25" s="14" t="s">
        <v>282</v>
      </c>
      <c r="N25" s="14" t="s">
        <v>157</v>
      </c>
      <c r="O25" s="20" t="s">
        <v>158</v>
      </c>
    </row>
    <row r="26" spans="1:15" ht="15.75" x14ac:dyDescent="0.25">
      <c r="A26" s="14">
        <v>25</v>
      </c>
      <c r="B26" s="15">
        <v>63001854</v>
      </c>
      <c r="C26" s="16" t="s">
        <v>280</v>
      </c>
      <c r="D26" s="16" t="s">
        <v>281</v>
      </c>
      <c r="E26" s="14" t="s">
        <v>161</v>
      </c>
      <c r="F26" s="15"/>
      <c r="G26" s="15">
        <v>708755000344</v>
      </c>
      <c r="H26" s="18">
        <v>46088</v>
      </c>
      <c r="I26" s="18">
        <v>46087</v>
      </c>
      <c r="J26" s="18">
        <v>46116</v>
      </c>
      <c r="K26" s="18">
        <v>46117</v>
      </c>
      <c r="L26" s="15">
        <v>30</v>
      </c>
      <c r="M26" s="14" t="s">
        <v>282</v>
      </c>
      <c r="N26" s="14" t="s">
        <v>165</v>
      </c>
      <c r="O26" s="20" t="s">
        <v>158</v>
      </c>
    </row>
    <row r="27" spans="1:15" ht="15.75" x14ac:dyDescent="0.25">
      <c r="A27" s="14">
        <v>26</v>
      </c>
      <c r="B27" s="15">
        <v>63001854</v>
      </c>
      <c r="C27" s="16" t="s">
        <v>280</v>
      </c>
      <c r="D27" s="16" t="s">
        <v>281</v>
      </c>
      <c r="E27" s="14" t="s">
        <v>161</v>
      </c>
      <c r="F27" s="15"/>
      <c r="G27" s="15">
        <v>708755000344</v>
      </c>
      <c r="H27" s="18">
        <v>46118</v>
      </c>
      <c r="I27" s="18">
        <v>46117</v>
      </c>
      <c r="J27" s="18">
        <v>46146</v>
      </c>
      <c r="K27" s="18">
        <v>46147</v>
      </c>
      <c r="L27" s="15">
        <v>30</v>
      </c>
      <c r="M27" s="14" t="s">
        <v>282</v>
      </c>
      <c r="N27" s="14" t="s">
        <v>165</v>
      </c>
      <c r="O27" s="20" t="s">
        <v>158</v>
      </c>
    </row>
    <row r="28" spans="1:15" ht="15.75" x14ac:dyDescent="0.25">
      <c r="A28" s="14">
        <v>27</v>
      </c>
      <c r="B28" s="15">
        <v>63010979</v>
      </c>
      <c r="C28" s="16" t="s">
        <v>250</v>
      </c>
      <c r="D28" s="16" t="s">
        <v>251</v>
      </c>
      <c r="E28" s="14" t="s">
        <v>155</v>
      </c>
      <c r="F28" s="15">
        <v>17</v>
      </c>
      <c r="G28" s="15">
        <v>942474003342</v>
      </c>
      <c r="H28" s="18">
        <v>46068</v>
      </c>
      <c r="I28" s="18">
        <v>46063</v>
      </c>
      <c r="J28" s="18">
        <v>46212</v>
      </c>
      <c r="K28" s="18">
        <v>46213</v>
      </c>
      <c r="L28" s="15">
        <v>150</v>
      </c>
      <c r="M28" s="14" t="s">
        <v>156</v>
      </c>
      <c r="N28" s="14" t="s">
        <v>157</v>
      </c>
      <c r="O28" s="20" t="s">
        <v>158</v>
      </c>
    </row>
    <row r="29" spans="1:15" ht="15.75" x14ac:dyDescent="0.25">
      <c r="A29" s="14">
        <v>28</v>
      </c>
      <c r="B29" s="15">
        <v>63001612</v>
      </c>
      <c r="C29" s="16" t="s">
        <v>252</v>
      </c>
      <c r="D29" s="16" t="s">
        <v>213</v>
      </c>
      <c r="E29" s="14" t="s">
        <v>161</v>
      </c>
      <c r="F29" s="15">
        <v>21</v>
      </c>
      <c r="G29" s="15">
        <v>940013049446</v>
      </c>
      <c r="H29" s="18">
        <v>46068</v>
      </c>
      <c r="I29" s="18">
        <v>46053</v>
      </c>
      <c r="J29" s="18">
        <v>46202</v>
      </c>
      <c r="K29" s="18">
        <v>46203</v>
      </c>
      <c r="L29" s="15">
        <v>150</v>
      </c>
      <c r="M29" s="14" t="s">
        <v>156</v>
      </c>
      <c r="N29" s="14" t="s">
        <v>157</v>
      </c>
      <c r="O29" s="20" t="s">
        <v>158</v>
      </c>
    </row>
    <row r="30" spans="1:15" ht="15.75" x14ac:dyDescent="0.25">
      <c r="A30" s="14">
        <v>29</v>
      </c>
      <c r="B30" s="15">
        <v>63001546</v>
      </c>
      <c r="C30" s="16" t="s">
        <v>153</v>
      </c>
      <c r="D30" s="16" t="s">
        <v>154</v>
      </c>
      <c r="E30" s="14" t="s">
        <v>155</v>
      </c>
      <c r="F30" s="15">
        <v>20</v>
      </c>
      <c r="G30" s="15">
        <v>922423003949</v>
      </c>
      <c r="H30" s="18">
        <v>46026</v>
      </c>
      <c r="I30" s="18">
        <v>46024</v>
      </c>
      <c r="J30" s="18">
        <v>46173</v>
      </c>
      <c r="K30" s="18">
        <v>46174</v>
      </c>
      <c r="L30" s="15">
        <v>150</v>
      </c>
      <c r="M30" s="14" t="s">
        <v>156</v>
      </c>
      <c r="N30" s="14" t="s">
        <v>157</v>
      </c>
      <c r="O30" s="20" t="s">
        <v>158</v>
      </c>
    </row>
    <row r="31" spans="1:15" ht="15.75" x14ac:dyDescent="0.25">
      <c r="A31" s="14">
        <v>30</v>
      </c>
      <c r="B31" s="15">
        <v>63001841</v>
      </c>
      <c r="C31" s="16" t="s">
        <v>190</v>
      </c>
      <c r="D31" s="16" t="s">
        <v>178</v>
      </c>
      <c r="E31" s="14" t="s">
        <v>155</v>
      </c>
      <c r="F31" s="15">
        <v>20</v>
      </c>
      <c r="G31" s="15">
        <v>722904000660</v>
      </c>
      <c r="H31" s="18">
        <v>46037</v>
      </c>
      <c r="I31" s="18">
        <v>46035</v>
      </c>
      <c r="J31" s="18">
        <v>46037</v>
      </c>
      <c r="K31" s="18">
        <v>46038</v>
      </c>
      <c r="L31" s="15">
        <v>3</v>
      </c>
      <c r="M31" s="14" t="s">
        <v>19</v>
      </c>
      <c r="N31" s="14" t="s">
        <v>157</v>
      </c>
      <c r="O31" s="20" t="s">
        <v>158</v>
      </c>
    </row>
    <row r="32" spans="1:15" ht="15.75" x14ac:dyDescent="0.25">
      <c r="A32" s="14">
        <v>31</v>
      </c>
      <c r="B32" s="15">
        <v>63001650</v>
      </c>
      <c r="C32" s="16" t="s">
        <v>210</v>
      </c>
      <c r="D32" s="16" t="s">
        <v>194</v>
      </c>
      <c r="E32" s="14" t="s">
        <v>161</v>
      </c>
      <c r="F32" s="15">
        <v>21</v>
      </c>
      <c r="G32" s="15">
        <v>936023000851</v>
      </c>
      <c r="H32" s="18">
        <v>46042</v>
      </c>
      <c r="I32" s="18">
        <v>46039</v>
      </c>
      <c r="J32" s="18">
        <v>46044</v>
      </c>
      <c r="K32" s="18">
        <v>46045</v>
      </c>
      <c r="L32" s="15">
        <v>6</v>
      </c>
      <c r="M32" s="14" t="s">
        <v>19</v>
      </c>
      <c r="N32" s="14" t="s">
        <v>157</v>
      </c>
      <c r="O32" s="20" t="s">
        <v>158</v>
      </c>
    </row>
    <row r="33" spans="1:15" ht="15.75" x14ac:dyDescent="0.25">
      <c r="A33" s="14">
        <v>32</v>
      </c>
      <c r="B33" s="15">
        <v>63001650</v>
      </c>
      <c r="C33" s="16" t="s">
        <v>210</v>
      </c>
      <c r="D33" s="16" t="s">
        <v>194</v>
      </c>
      <c r="E33" s="14" t="s">
        <v>161</v>
      </c>
      <c r="F33" s="15">
        <v>21</v>
      </c>
      <c r="G33" s="15">
        <v>936023000851</v>
      </c>
      <c r="H33" s="18">
        <v>46142</v>
      </c>
      <c r="I33" s="18">
        <v>46102</v>
      </c>
      <c r="J33" s="18">
        <v>46264</v>
      </c>
      <c r="K33" s="18">
        <v>46265</v>
      </c>
      <c r="L33" s="15">
        <v>150</v>
      </c>
      <c r="M33" s="14" t="s">
        <v>19</v>
      </c>
      <c r="N33" s="14" t="s">
        <v>157</v>
      </c>
      <c r="O33" s="20" t="s">
        <v>158</v>
      </c>
    </row>
    <row r="34" spans="1:15" ht="15.75" x14ac:dyDescent="0.25">
      <c r="A34" s="14">
        <v>33</v>
      </c>
      <c r="B34" s="15">
        <v>63001698</v>
      </c>
      <c r="C34" s="16" t="s">
        <v>182</v>
      </c>
      <c r="D34" s="16" t="s">
        <v>183</v>
      </c>
      <c r="E34" s="14" t="s">
        <v>161</v>
      </c>
      <c r="F34" s="15"/>
      <c r="G34" s="15">
        <v>910461009738</v>
      </c>
      <c r="H34" s="18">
        <v>46142</v>
      </c>
      <c r="I34" s="18">
        <v>46134</v>
      </c>
      <c r="J34" s="18">
        <v>46134</v>
      </c>
      <c r="K34" s="18">
        <v>46135</v>
      </c>
      <c r="L34" s="15">
        <v>1</v>
      </c>
      <c r="M34" s="14" t="s">
        <v>19</v>
      </c>
      <c r="N34" s="14" t="s">
        <v>157</v>
      </c>
      <c r="O34" s="20" t="s">
        <v>158</v>
      </c>
    </row>
    <row r="35" spans="1:15" ht="15.75" x14ac:dyDescent="0.25">
      <c r="A35" s="14">
        <v>34</v>
      </c>
      <c r="B35" s="15">
        <v>63001698</v>
      </c>
      <c r="C35" s="16" t="s">
        <v>182</v>
      </c>
      <c r="D35" s="16" t="s">
        <v>183</v>
      </c>
      <c r="E35" s="14" t="s">
        <v>161</v>
      </c>
      <c r="F35" s="15"/>
      <c r="G35" s="15">
        <v>910461009738</v>
      </c>
      <c r="H35" s="18">
        <v>46136</v>
      </c>
      <c r="I35" s="18">
        <v>46135</v>
      </c>
      <c r="J35" s="18">
        <v>46164</v>
      </c>
      <c r="K35" s="18">
        <v>46165</v>
      </c>
      <c r="L35" s="15">
        <v>30</v>
      </c>
      <c r="M35" s="14" t="s">
        <v>19</v>
      </c>
      <c r="N35" s="14" t="s">
        <v>165</v>
      </c>
      <c r="O35" s="20" t="s">
        <v>158</v>
      </c>
    </row>
    <row r="36" spans="1:15" ht="15.75" x14ac:dyDescent="0.25">
      <c r="A36" s="14">
        <v>35</v>
      </c>
      <c r="B36" s="15">
        <v>63001698</v>
      </c>
      <c r="C36" s="16" t="s">
        <v>182</v>
      </c>
      <c r="D36" s="16" t="s">
        <v>183</v>
      </c>
      <c r="E36" s="14" t="s">
        <v>161</v>
      </c>
      <c r="F36" s="15">
        <v>22</v>
      </c>
      <c r="G36" s="15">
        <v>910461009738</v>
      </c>
      <c r="H36" s="18">
        <v>46173</v>
      </c>
      <c r="I36" s="18" t="s">
        <v>397</v>
      </c>
      <c r="J36" s="18" t="s">
        <v>398</v>
      </c>
      <c r="K36" s="18" t="s">
        <v>399</v>
      </c>
      <c r="L36" s="15">
        <v>17</v>
      </c>
      <c r="M36" s="14" t="s">
        <v>19</v>
      </c>
      <c r="N36" s="14" t="s">
        <v>165</v>
      </c>
      <c r="O36" s="20" t="s">
        <v>158</v>
      </c>
    </row>
    <row r="37" spans="1:15" ht="15.75" x14ac:dyDescent="0.25">
      <c r="A37" s="14">
        <v>36</v>
      </c>
      <c r="B37" s="15">
        <v>63001698</v>
      </c>
      <c r="C37" s="16" t="s">
        <v>182</v>
      </c>
      <c r="D37" s="16" t="s">
        <v>183</v>
      </c>
      <c r="E37" s="14" t="s">
        <v>161</v>
      </c>
      <c r="F37" s="15">
        <v>22</v>
      </c>
      <c r="G37" s="15">
        <v>910461009738</v>
      </c>
      <c r="H37" s="18" t="s">
        <v>387</v>
      </c>
      <c r="I37" s="18" t="s">
        <v>400</v>
      </c>
      <c r="J37" s="18" t="s">
        <v>398</v>
      </c>
      <c r="K37" s="18" t="s">
        <v>399</v>
      </c>
      <c r="L37" s="15">
        <v>17</v>
      </c>
      <c r="M37" s="14" t="s">
        <v>19</v>
      </c>
      <c r="N37" s="14" t="s">
        <v>165</v>
      </c>
      <c r="O37" s="20" t="s">
        <v>158</v>
      </c>
    </row>
    <row r="38" spans="1:15" ht="15.75" x14ac:dyDescent="0.25">
      <c r="A38" s="14">
        <v>37</v>
      </c>
      <c r="B38" s="15">
        <v>63001577</v>
      </c>
      <c r="C38" s="16" t="s">
        <v>193</v>
      </c>
      <c r="D38" s="16" t="s">
        <v>194</v>
      </c>
      <c r="E38" s="14" t="s">
        <v>161</v>
      </c>
      <c r="F38" s="15">
        <v>21</v>
      </c>
      <c r="G38" s="15">
        <v>922382002050</v>
      </c>
      <c r="H38" s="18">
        <v>46040</v>
      </c>
      <c r="I38" s="18">
        <v>46035</v>
      </c>
      <c r="J38" s="18">
        <v>46184</v>
      </c>
      <c r="K38" s="18">
        <v>46185</v>
      </c>
      <c r="L38" s="15">
        <v>150</v>
      </c>
      <c r="M38" s="14" t="s">
        <v>156</v>
      </c>
      <c r="N38" s="14" t="s">
        <v>157</v>
      </c>
      <c r="O38" s="20" t="s">
        <v>158</v>
      </c>
    </row>
    <row r="39" spans="1:15" ht="15.75" x14ac:dyDescent="0.25">
      <c r="A39" s="14">
        <v>38</v>
      </c>
      <c r="B39" s="15">
        <v>63001788</v>
      </c>
      <c r="C39" s="16" t="s">
        <v>276</v>
      </c>
      <c r="D39" s="16" t="s">
        <v>277</v>
      </c>
      <c r="E39" s="14" t="s">
        <v>155</v>
      </c>
      <c r="F39" s="15">
        <v>18</v>
      </c>
      <c r="G39" s="15">
        <v>872863000445</v>
      </c>
      <c r="H39" s="18">
        <v>46113</v>
      </c>
      <c r="I39" s="18">
        <v>46112</v>
      </c>
      <c r="J39" s="18">
        <v>46141</v>
      </c>
      <c r="K39" s="18">
        <v>46142</v>
      </c>
      <c r="L39" s="15">
        <v>30</v>
      </c>
      <c r="M39" s="14" t="s">
        <v>19</v>
      </c>
      <c r="N39" s="14" t="s">
        <v>157</v>
      </c>
      <c r="O39" s="20" t="s">
        <v>158</v>
      </c>
    </row>
    <row r="40" spans="1:15" ht="15.75" x14ac:dyDescent="0.25">
      <c r="A40" s="14">
        <v>39</v>
      </c>
      <c r="B40" s="15">
        <v>63001788</v>
      </c>
      <c r="C40" s="16" t="s">
        <v>276</v>
      </c>
      <c r="D40" s="16" t="s">
        <v>277</v>
      </c>
      <c r="E40" s="14" t="s">
        <v>155</v>
      </c>
      <c r="F40" s="15">
        <v>18</v>
      </c>
      <c r="G40" s="15">
        <v>872863000445</v>
      </c>
      <c r="H40" s="18">
        <v>46142</v>
      </c>
      <c r="I40" s="18">
        <v>46142</v>
      </c>
      <c r="J40" s="18">
        <v>46171</v>
      </c>
      <c r="K40" s="18">
        <v>46172</v>
      </c>
      <c r="L40" s="15">
        <v>30</v>
      </c>
      <c r="M40" s="14" t="s">
        <v>19</v>
      </c>
      <c r="N40" s="14" t="s">
        <v>165</v>
      </c>
      <c r="O40" s="20" t="s">
        <v>158</v>
      </c>
    </row>
    <row r="41" spans="1:15" ht="15.75" x14ac:dyDescent="0.25">
      <c r="A41" s="14">
        <v>40</v>
      </c>
      <c r="B41" s="15">
        <v>63001860</v>
      </c>
      <c r="C41" s="16" t="s">
        <v>333</v>
      </c>
      <c r="D41" s="16" t="s">
        <v>334</v>
      </c>
      <c r="E41" s="14" t="s">
        <v>161</v>
      </c>
      <c r="F41" s="15"/>
      <c r="G41" s="15">
        <v>722502001268</v>
      </c>
      <c r="H41" s="18">
        <v>46182</v>
      </c>
      <c r="I41" s="18">
        <v>46178</v>
      </c>
      <c r="J41" s="18">
        <v>46206</v>
      </c>
      <c r="K41" s="18">
        <v>46207</v>
      </c>
      <c r="L41" s="15">
        <v>29</v>
      </c>
      <c r="M41" s="14" t="s">
        <v>19</v>
      </c>
      <c r="N41" s="14" t="s">
        <v>165</v>
      </c>
      <c r="O41" s="20" t="s">
        <v>158</v>
      </c>
    </row>
    <row r="42" spans="1:15" ht="15.75" x14ac:dyDescent="0.25">
      <c r="A42" s="14">
        <v>41</v>
      </c>
      <c r="B42" s="15">
        <v>63001698</v>
      </c>
      <c r="C42" s="16" t="s">
        <v>182</v>
      </c>
      <c r="D42" s="16" t="s">
        <v>183</v>
      </c>
      <c r="E42" s="14" t="s">
        <v>161</v>
      </c>
      <c r="F42" s="15">
        <v>22</v>
      </c>
      <c r="G42" s="15">
        <v>910461009738</v>
      </c>
      <c r="H42" s="18" t="s">
        <v>401</v>
      </c>
      <c r="I42" s="18" t="s">
        <v>402</v>
      </c>
      <c r="J42" s="18" t="s">
        <v>401</v>
      </c>
      <c r="K42" s="18" t="s">
        <v>403</v>
      </c>
      <c r="L42" s="15">
        <v>2</v>
      </c>
      <c r="M42" s="14" t="s">
        <v>19</v>
      </c>
      <c r="N42" s="14" t="s">
        <v>165</v>
      </c>
      <c r="O42" s="20" t="s">
        <v>158</v>
      </c>
    </row>
    <row r="43" spans="1:15" ht="15.75" x14ac:dyDescent="0.25">
      <c r="A43" s="14">
        <v>42</v>
      </c>
      <c r="B43" s="15">
        <v>63001788</v>
      </c>
      <c r="C43" s="16" t="s">
        <v>276</v>
      </c>
      <c r="D43" s="16" t="s">
        <v>277</v>
      </c>
      <c r="E43" s="14" t="s">
        <v>155</v>
      </c>
      <c r="F43" s="15">
        <v>18</v>
      </c>
      <c r="G43" s="15">
        <v>872863000445</v>
      </c>
      <c r="H43" s="18">
        <v>46204</v>
      </c>
      <c r="I43" s="18">
        <v>46202</v>
      </c>
      <c r="J43" s="18">
        <v>46216</v>
      </c>
      <c r="K43" s="18">
        <v>46217</v>
      </c>
      <c r="L43" s="15">
        <v>15</v>
      </c>
      <c r="M43" s="14" t="s">
        <v>19</v>
      </c>
      <c r="N43" s="14" t="s">
        <v>157</v>
      </c>
      <c r="O43" s="20" t="s">
        <v>158</v>
      </c>
    </row>
    <row r="44" spans="1:15" ht="15.75" x14ac:dyDescent="0.25">
      <c r="A44" s="14">
        <v>43</v>
      </c>
      <c r="B44" s="15">
        <v>63001351</v>
      </c>
      <c r="C44" s="16" t="s">
        <v>222</v>
      </c>
      <c r="D44" s="16" t="s">
        <v>223</v>
      </c>
      <c r="E44" s="14" t="s">
        <v>155</v>
      </c>
      <c r="F44" s="15">
        <v>20</v>
      </c>
      <c r="G44" s="15">
        <v>930119003357</v>
      </c>
      <c r="H44" s="18">
        <v>46204</v>
      </c>
      <c r="I44" s="18">
        <v>46201</v>
      </c>
      <c r="J44" s="18">
        <v>46204</v>
      </c>
      <c r="K44" s="18">
        <v>46205</v>
      </c>
      <c r="L44" s="15">
        <v>4</v>
      </c>
      <c r="M44" s="14" t="s">
        <v>19</v>
      </c>
      <c r="N44" s="14" t="s">
        <v>157</v>
      </c>
      <c r="O44" s="20" t="s">
        <v>158</v>
      </c>
    </row>
    <row r="45" spans="1:15" ht="15.75" x14ac:dyDescent="0.25">
      <c r="A45" s="14">
        <v>44</v>
      </c>
      <c r="B45" s="15">
        <v>63001807</v>
      </c>
      <c r="C45" s="16" t="s">
        <v>241</v>
      </c>
      <c r="D45" s="16" t="s">
        <v>176</v>
      </c>
      <c r="E45" s="14" t="s">
        <v>155</v>
      </c>
      <c r="F45" s="15">
        <v>20</v>
      </c>
      <c r="G45" s="15">
        <v>973398000633</v>
      </c>
      <c r="H45" s="18">
        <v>46204</v>
      </c>
      <c r="I45" s="18">
        <v>46204</v>
      </c>
      <c r="J45" s="18">
        <v>46233</v>
      </c>
      <c r="K45" s="18">
        <v>46234</v>
      </c>
      <c r="L45" s="15">
        <v>30</v>
      </c>
      <c r="M45" s="14" t="s">
        <v>19</v>
      </c>
      <c r="N45" s="14" t="s">
        <v>157</v>
      </c>
      <c r="O45" s="20" t="s">
        <v>158</v>
      </c>
    </row>
    <row r="46" spans="1:15" ht="15.75" x14ac:dyDescent="0.25">
      <c r="A46" s="14">
        <v>45</v>
      </c>
      <c r="B46" s="15">
        <v>63001860</v>
      </c>
      <c r="C46" s="16" t="s">
        <v>333</v>
      </c>
      <c r="D46" s="16" t="s">
        <v>334</v>
      </c>
      <c r="E46" s="14" t="s">
        <v>161</v>
      </c>
      <c r="F46" s="15"/>
      <c r="G46" s="15">
        <v>722502001268</v>
      </c>
      <c r="H46" s="18">
        <v>46210</v>
      </c>
      <c r="I46" s="18">
        <v>46207</v>
      </c>
      <c r="J46" s="18">
        <v>46236</v>
      </c>
      <c r="K46" s="18">
        <v>46237</v>
      </c>
      <c r="L46" s="15">
        <v>30</v>
      </c>
      <c r="M46" s="14" t="s">
        <v>19</v>
      </c>
      <c r="N46" s="14" t="s">
        <v>165</v>
      </c>
      <c r="O46" s="20" t="s">
        <v>158</v>
      </c>
    </row>
  </sheetData>
  <autoFilter ref="A1:O1" xr:uid="{EA544640-82F1-4CA0-A287-12B5E829D10C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F34C-21D5-45A9-BDBC-C46EA5069380}">
  <sheetPr codeName="Sheet5"/>
  <dimension ref="A1:O38"/>
  <sheetViews>
    <sheetView workbookViewId="0">
      <pane ySplit="1" topLeftCell="A17" activePane="bottomLeft" state="frozen"/>
      <selection pane="bottomLeft" activeCell="A38" sqref="A38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34.140625" bestFit="1" customWidth="1"/>
    <col min="4" max="4" width="34.5703125" bestFit="1" customWidth="1"/>
    <col min="5" max="5" width="30.7109375" bestFit="1" customWidth="1"/>
    <col min="6" max="6" width="16" bestFit="1" customWidth="1"/>
    <col min="7" max="7" width="21.7109375" bestFit="1" customWidth="1"/>
    <col min="8" max="8" width="27.28515625" style="19" bestFit="1" customWidth="1"/>
    <col min="9" max="9" width="26.42578125" style="19" bestFit="1" customWidth="1"/>
    <col min="10" max="10" width="23" style="19" bestFit="1" customWidth="1"/>
    <col min="11" max="11" width="23.5703125" style="19" bestFit="1" customWidth="1"/>
    <col min="12" max="12" width="32.42578125" bestFit="1" customWidth="1"/>
    <col min="13" max="13" width="18" bestFit="1" customWidth="1"/>
    <col min="14" max="14" width="21.28515625" bestFit="1" customWidth="1"/>
    <col min="15" max="15" width="19.5703125" bestFit="1" customWidth="1"/>
  </cols>
  <sheetData>
    <row r="1" spans="1:15" s="11" customFormat="1" ht="24" thickTop="1" x14ac:dyDescent="0.35">
      <c r="A1" s="12" t="s">
        <v>138</v>
      </c>
      <c r="B1" s="12" t="s">
        <v>139</v>
      </c>
      <c r="C1" s="12" t="s">
        <v>140</v>
      </c>
      <c r="D1" s="12" t="s">
        <v>141</v>
      </c>
      <c r="E1" s="12" t="s">
        <v>142</v>
      </c>
      <c r="F1" s="12" t="s">
        <v>143</v>
      </c>
      <c r="G1" s="12" t="s">
        <v>144</v>
      </c>
      <c r="H1" s="17" t="s">
        <v>145</v>
      </c>
      <c r="I1" s="17" t="s">
        <v>146</v>
      </c>
      <c r="J1" s="17" t="s">
        <v>147</v>
      </c>
      <c r="K1" s="17" t="s">
        <v>148</v>
      </c>
      <c r="L1" s="12" t="s">
        <v>149</v>
      </c>
      <c r="M1" s="12" t="s">
        <v>150</v>
      </c>
      <c r="N1" s="12" t="s">
        <v>151</v>
      </c>
      <c r="O1" s="13" t="s">
        <v>152</v>
      </c>
    </row>
    <row r="2" spans="1:15" ht="15.75" x14ac:dyDescent="0.25">
      <c r="A2" s="14">
        <v>1</v>
      </c>
      <c r="B2" s="15">
        <v>63001943</v>
      </c>
      <c r="C2" s="16" t="s">
        <v>180</v>
      </c>
      <c r="D2" s="16" t="s">
        <v>181</v>
      </c>
      <c r="E2" s="14" t="s">
        <v>161</v>
      </c>
      <c r="F2" s="15">
        <v>21</v>
      </c>
      <c r="G2" s="15">
        <v>810885004441</v>
      </c>
      <c r="H2" s="18">
        <v>46036</v>
      </c>
      <c r="I2" s="18">
        <v>46035</v>
      </c>
      <c r="J2" s="18">
        <v>46035</v>
      </c>
      <c r="K2" s="18">
        <v>46036</v>
      </c>
      <c r="L2" s="15">
        <v>1</v>
      </c>
      <c r="M2" s="14" t="s">
        <v>19</v>
      </c>
      <c r="N2" s="14" t="s">
        <v>165</v>
      </c>
      <c r="O2" s="20" t="s">
        <v>404</v>
      </c>
    </row>
    <row r="3" spans="1:15" ht="15.75" x14ac:dyDescent="0.25">
      <c r="A3" s="14">
        <v>2</v>
      </c>
      <c r="B3" s="15">
        <v>63001943</v>
      </c>
      <c r="C3" s="16" t="s">
        <v>180</v>
      </c>
      <c r="D3" s="16" t="s">
        <v>181</v>
      </c>
      <c r="E3" s="14" t="s">
        <v>161</v>
      </c>
      <c r="F3" s="15">
        <v>21</v>
      </c>
      <c r="G3" s="15">
        <v>810885004441</v>
      </c>
      <c r="H3" s="18">
        <v>46036</v>
      </c>
      <c r="I3" s="18">
        <v>46036</v>
      </c>
      <c r="J3" s="18">
        <v>46095</v>
      </c>
      <c r="K3" s="18">
        <v>46096</v>
      </c>
      <c r="L3" s="15">
        <v>60</v>
      </c>
      <c r="M3" s="14" t="s">
        <v>19</v>
      </c>
      <c r="N3" s="14" t="s">
        <v>165</v>
      </c>
      <c r="O3" s="20" t="s">
        <v>404</v>
      </c>
    </row>
    <row r="4" spans="1:15" ht="15.75" x14ac:dyDescent="0.25">
      <c r="A4" s="14">
        <v>3</v>
      </c>
      <c r="B4" s="15">
        <v>63001943</v>
      </c>
      <c r="C4" s="16" t="s">
        <v>180</v>
      </c>
      <c r="D4" s="16" t="s">
        <v>181</v>
      </c>
      <c r="E4" s="14" t="s">
        <v>161</v>
      </c>
      <c r="F4" s="15">
        <v>21</v>
      </c>
      <c r="G4" s="15">
        <v>810885004441</v>
      </c>
      <c r="H4" s="18">
        <v>46037</v>
      </c>
      <c r="I4" s="18">
        <v>46035</v>
      </c>
      <c r="J4" s="18">
        <v>46035</v>
      </c>
      <c r="K4" s="18">
        <v>46036</v>
      </c>
      <c r="L4" s="15">
        <v>1</v>
      </c>
      <c r="M4" s="14" t="s">
        <v>19</v>
      </c>
      <c r="N4" s="14" t="s">
        <v>165</v>
      </c>
      <c r="O4" s="20" t="s">
        <v>404</v>
      </c>
    </row>
    <row r="5" spans="1:15" ht="15.75" x14ac:dyDescent="0.25">
      <c r="A5" s="14">
        <v>4</v>
      </c>
      <c r="B5" s="15">
        <v>63001943</v>
      </c>
      <c r="C5" s="16" t="s">
        <v>180</v>
      </c>
      <c r="D5" s="16" t="s">
        <v>181</v>
      </c>
      <c r="E5" s="14" t="s">
        <v>161</v>
      </c>
      <c r="F5" s="15">
        <v>21</v>
      </c>
      <c r="G5" s="15">
        <v>810885004441</v>
      </c>
      <c r="H5" s="18">
        <v>46037</v>
      </c>
      <c r="I5" s="18">
        <v>46036</v>
      </c>
      <c r="J5" s="18">
        <v>46095</v>
      </c>
      <c r="K5" s="18">
        <v>46096</v>
      </c>
      <c r="L5" s="15">
        <v>60</v>
      </c>
      <c r="M5" s="14" t="s">
        <v>19</v>
      </c>
      <c r="N5" s="14" t="s">
        <v>165</v>
      </c>
      <c r="O5" s="20" t="s">
        <v>404</v>
      </c>
    </row>
    <row r="6" spans="1:15" ht="15.75" x14ac:dyDescent="0.25">
      <c r="A6" s="14">
        <v>5</v>
      </c>
      <c r="B6" s="15">
        <v>63001623</v>
      </c>
      <c r="C6" s="16" t="s">
        <v>200</v>
      </c>
      <c r="D6" s="16" t="s">
        <v>201</v>
      </c>
      <c r="E6" s="14" t="s">
        <v>161</v>
      </c>
      <c r="F6" s="15">
        <v>21</v>
      </c>
      <c r="G6" s="15">
        <v>921526006446</v>
      </c>
      <c r="H6" s="18">
        <v>46084</v>
      </c>
      <c r="I6" s="18">
        <v>46083</v>
      </c>
      <c r="J6" s="18">
        <v>46084</v>
      </c>
      <c r="K6" s="18">
        <v>46085</v>
      </c>
      <c r="L6" s="15">
        <v>2</v>
      </c>
      <c r="M6" s="14" t="s">
        <v>19</v>
      </c>
      <c r="N6" s="14" t="s">
        <v>157</v>
      </c>
      <c r="O6" s="20" t="s">
        <v>404</v>
      </c>
    </row>
    <row r="7" spans="1:15" ht="15.75" x14ac:dyDescent="0.25">
      <c r="A7" s="14">
        <v>6</v>
      </c>
      <c r="B7" s="15">
        <v>63001623</v>
      </c>
      <c r="C7" s="16" t="s">
        <v>200</v>
      </c>
      <c r="D7" s="16" t="s">
        <v>201</v>
      </c>
      <c r="E7" s="14" t="s">
        <v>161</v>
      </c>
      <c r="F7" s="15">
        <v>21</v>
      </c>
      <c r="G7" s="15">
        <v>921526006446</v>
      </c>
      <c r="H7" s="18">
        <v>46086</v>
      </c>
      <c r="I7" s="18">
        <v>46085</v>
      </c>
      <c r="J7" s="18">
        <v>46099</v>
      </c>
      <c r="K7" s="18">
        <v>46100</v>
      </c>
      <c r="L7" s="15">
        <v>15</v>
      </c>
      <c r="M7" s="14" t="s">
        <v>19</v>
      </c>
      <c r="N7" s="14" t="s">
        <v>157</v>
      </c>
      <c r="O7" s="20" t="s">
        <v>404</v>
      </c>
    </row>
    <row r="8" spans="1:15" ht="15.75" x14ac:dyDescent="0.25">
      <c r="A8" s="14">
        <v>7</v>
      </c>
      <c r="B8" s="15">
        <v>63001623</v>
      </c>
      <c r="C8" s="16" t="s">
        <v>200</v>
      </c>
      <c r="D8" s="16" t="s">
        <v>201</v>
      </c>
      <c r="E8" s="14" t="s">
        <v>161</v>
      </c>
      <c r="F8" s="15">
        <v>21</v>
      </c>
      <c r="G8" s="15">
        <v>921526006446</v>
      </c>
      <c r="H8" s="18">
        <v>46105</v>
      </c>
      <c r="I8" s="18">
        <v>46100</v>
      </c>
      <c r="J8" s="18">
        <v>46114</v>
      </c>
      <c r="K8" s="18">
        <v>46115</v>
      </c>
      <c r="L8" s="15">
        <v>15</v>
      </c>
      <c r="M8" s="14" t="s">
        <v>19</v>
      </c>
      <c r="N8" s="14" t="s">
        <v>157</v>
      </c>
      <c r="O8" s="20" t="s">
        <v>404</v>
      </c>
    </row>
    <row r="9" spans="1:15" ht="15.75" x14ac:dyDescent="0.25">
      <c r="A9" s="14">
        <v>8</v>
      </c>
      <c r="B9" s="15">
        <v>63001719</v>
      </c>
      <c r="C9" s="16" t="s">
        <v>163</v>
      </c>
      <c r="D9" s="16" t="s">
        <v>164</v>
      </c>
      <c r="E9" s="14" t="s">
        <v>161</v>
      </c>
      <c r="F9" s="15">
        <v>22</v>
      </c>
      <c r="G9" s="15">
        <v>922129005348</v>
      </c>
      <c r="H9" s="18">
        <v>46110</v>
      </c>
      <c r="I9" s="18">
        <v>46107</v>
      </c>
      <c r="J9" s="18">
        <v>46136</v>
      </c>
      <c r="K9" s="18">
        <v>46137</v>
      </c>
      <c r="L9" s="15">
        <v>30</v>
      </c>
      <c r="M9" s="14" t="s">
        <v>19</v>
      </c>
      <c r="N9" s="14" t="s">
        <v>165</v>
      </c>
      <c r="O9" s="20" t="s">
        <v>404</v>
      </c>
    </row>
    <row r="10" spans="1:15" ht="15.75" x14ac:dyDescent="0.25">
      <c r="A10" s="14">
        <v>9</v>
      </c>
      <c r="B10" s="15">
        <v>63001462</v>
      </c>
      <c r="C10" s="16" t="s">
        <v>320</v>
      </c>
      <c r="D10" s="16" t="s">
        <v>247</v>
      </c>
      <c r="E10" s="14" t="s">
        <v>155</v>
      </c>
      <c r="F10" s="15"/>
      <c r="G10" s="15">
        <v>796958000235</v>
      </c>
      <c r="H10" s="18">
        <v>46111</v>
      </c>
      <c r="I10" s="18">
        <v>46111</v>
      </c>
      <c r="J10" s="18">
        <v>46113</v>
      </c>
      <c r="K10" s="18">
        <v>46114</v>
      </c>
      <c r="L10" s="15">
        <v>3</v>
      </c>
      <c r="M10" s="14" t="s">
        <v>19</v>
      </c>
      <c r="N10" s="14" t="s">
        <v>157</v>
      </c>
      <c r="O10" s="20" t="s">
        <v>404</v>
      </c>
    </row>
    <row r="11" spans="1:15" ht="15.75" x14ac:dyDescent="0.25">
      <c r="A11" s="14">
        <v>10</v>
      </c>
      <c r="B11" s="15">
        <v>63001940</v>
      </c>
      <c r="C11" s="16" t="s">
        <v>211</v>
      </c>
      <c r="D11" s="16" t="s">
        <v>185</v>
      </c>
      <c r="E11" s="14" t="s">
        <v>155</v>
      </c>
      <c r="F11" s="15">
        <v>21</v>
      </c>
      <c r="G11" s="15">
        <v>800625010760</v>
      </c>
      <c r="H11" s="18">
        <v>46111</v>
      </c>
      <c r="I11" s="18">
        <v>46111</v>
      </c>
      <c r="J11" s="18">
        <v>46140</v>
      </c>
      <c r="K11" s="18">
        <v>46141</v>
      </c>
      <c r="L11" s="15">
        <v>30</v>
      </c>
      <c r="M11" s="14" t="s">
        <v>19</v>
      </c>
      <c r="N11" s="14" t="s">
        <v>157</v>
      </c>
      <c r="O11" s="20" t="s">
        <v>404</v>
      </c>
    </row>
    <row r="12" spans="1:15" ht="15.75" x14ac:dyDescent="0.25">
      <c r="A12" s="14">
        <v>11</v>
      </c>
      <c r="B12" s="15">
        <v>63001788</v>
      </c>
      <c r="C12" s="16" t="s">
        <v>276</v>
      </c>
      <c r="D12" s="16" t="s">
        <v>277</v>
      </c>
      <c r="E12" s="14" t="s">
        <v>155</v>
      </c>
      <c r="F12" s="15">
        <v>18</v>
      </c>
      <c r="G12" s="15">
        <v>872863000445</v>
      </c>
      <c r="H12" s="18">
        <v>46113</v>
      </c>
      <c r="I12" s="18">
        <v>46112</v>
      </c>
      <c r="J12" s="18">
        <v>46141</v>
      </c>
      <c r="K12" s="18">
        <v>46142</v>
      </c>
      <c r="L12" s="15">
        <v>30</v>
      </c>
      <c r="M12" s="14" t="s">
        <v>19</v>
      </c>
      <c r="N12" s="14" t="s">
        <v>157</v>
      </c>
      <c r="O12" s="20" t="s">
        <v>404</v>
      </c>
    </row>
    <row r="13" spans="1:15" ht="15.75" x14ac:dyDescent="0.25">
      <c r="A13" s="14">
        <v>12</v>
      </c>
      <c r="B13" s="15">
        <v>63001720</v>
      </c>
      <c r="C13" s="16" t="s">
        <v>325</v>
      </c>
      <c r="D13" s="16" t="s">
        <v>326</v>
      </c>
      <c r="E13" s="14" t="s">
        <v>161</v>
      </c>
      <c r="F13" s="15"/>
      <c r="G13" s="15">
        <v>930037051652</v>
      </c>
      <c r="H13" s="18">
        <v>46121</v>
      </c>
      <c r="I13" s="18">
        <v>46117</v>
      </c>
      <c r="J13" s="18">
        <v>46131</v>
      </c>
      <c r="K13" s="18">
        <v>46132</v>
      </c>
      <c r="L13" s="15">
        <v>15</v>
      </c>
      <c r="M13" s="14" t="s">
        <v>19</v>
      </c>
      <c r="N13" s="14" t="s">
        <v>157</v>
      </c>
      <c r="O13" s="20" t="s">
        <v>404</v>
      </c>
    </row>
    <row r="14" spans="1:15" ht="15.75" x14ac:dyDescent="0.25">
      <c r="A14" s="14">
        <v>13</v>
      </c>
      <c r="B14" s="15">
        <v>63011090</v>
      </c>
      <c r="C14" s="16" t="s">
        <v>329</v>
      </c>
      <c r="D14" s="16" t="s">
        <v>330</v>
      </c>
      <c r="E14" s="14" t="s">
        <v>161</v>
      </c>
      <c r="F14" s="15"/>
      <c r="G14" s="15">
        <v>960538004840</v>
      </c>
      <c r="H14" s="18">
        <v>46124</v>
      </c>
      <c r="I14" s="18">
        <v>46124</v>
      </c>
      <c r="J14" s="18">
        <v>46128</v>
      </c>
      <c r="K14" s="18">
        <v>46129</v>
      </c>
      <c r="L14" s="15">
        <v>5</v>
      </c>
      <c r="M14" s="14" t="s">
        <v>19</v>
      </c>
      <c r="N14" s="14" t="s">
        <v>157</v>
      </c>
      <c r="O14" s="20" t="s">
        <v>404</v>
      </c>
    </row>
    <row r="15" spans="1:15" ht="15.75" x14ac:dyDescent="0.25">
      <c r="A15" s="14">
        <v>14</v>
      </c>
      <c r="B15" s="15">
        <v>63001592</v>
      </c>
      <c r="C15" s="16" t="s">
        <v>264</v>
      </c>
      <c r="D15" s="16" t="s">
        <v>178</v>
      </c>
      <c r="E15" s="14" t="s">
        <v>155</v>
      </c>
      <c r="F15" s="15">
        <v>20</v>
      </c>
      <c r="G15" s="15">
        <v>884731001447</v>
      </c>
      <c r="H15" s="18">
        <v>46124</v>
      </c>
      <c r="I15" s="18">
        <v>46124</v>
      </c>
      <c r="J15" s="18">
        <v>46273</v>
      </c>
      <c r="K15" s="18">
        <v>46274</v>
      </c>
      <c r="L15" s="15">
        <v>150</v>
      </c>
      <c r="M15" s="14" t="s">
        <v>156</v>
      </c>
      <c r="N15" s="14" t="s">
        <v>157</v>
      </c>
      <c r="O15" s="20" t="s">
        <v>404</v>
      </c>
    </row>
    <row r="16" spans="1:15" ht="15.75" x14ac:dyDescent="0.25">
      <c r="A16" s="14">
        <v>15</v>
      </c>
      <c r="B16" s="15">
        <v>63001807</v>
      </c>
      <c r="C16" s="16" t="s">
        <v>241</v>
      </c>
      <c r="D16" s="16" t="s">
        <v>176</v>
      </c>
      <c r="E16" s="14" t="s">
        <v>155</v>
      </c>
      <c r="F16" s="15">
        <v>20</v>
      </c>
      <c r="G16" s="15">
        <v>973398000633</v>
      </c>
      <c r="H16" s="18">
        <v>46135</v>
      </c>
      <c r="I16" s="18">
        <v>46131</v>
      </c>
      <c r="J16" s="18">
        <v>46142</v>
      </c>
      <c r="K16" s="18">
        <v>46143</v>
      </c>
      <c r="L16" s="15">
        <v>12</v>
      </c>
      <c r="M16" s="14" t="s">
        <v>19</v>
      </c>
      <c r="N16" s="14" t="s">
        <v>157</v>
      </c>
      <c r="O16" s="20" t="s">
        <v>404</v>
      </c>
    </row>
    <row r="17" spans="1:15" ht="15.75" x14ac:dyDescent="0.25">
      <c r="A17" s="14">
        <v>16</v>
      </c>
      <c r="B17" s="15">
        <v>63001720</v>
      </c>
      <c r="C17" s="16" t="s">
        <v>325</v>
      </c>
      <c r="D17" s="16" t="s">
        <v>326</v>
      </c>
      <c r="E17" s="14" t="s">
        <v>161</v>
      </c>
      <c r="F17" s="15"/>
      <c r="G17" s="15">
        <v>930037051652</v>
      </c>
      <c r="H17" s="18">
        <v>46135</v>
      </c>
      <c r="I17" s="18">
        <v>46132</v>
      </c>
      <c r="J17" s="18">
        <v>46142</v>
      </c>
      <c r="K17" s="18">
        <v>46143</v>
      </c>
      <c r="L17" s="15">
        <v>11</v>
      </c>
      <c r="M17" s="14" t="s">
        <v>19</v>
      </c>
      <c r="N17" s="14" t="s">
        <v>157</v>
      </c>
      <c r="O17" s="20" t="s">
        <v>404</v>
      </c>
    </row>
    <row r="18" spans="1:15" ht="15.75" x14ac:dyDescent="0.25">
      <c r="A18" s="14">
        <v>17</v>
      </c>
      <c r="B18" s="15">
        <v>63001650</v>
      </c>
      <c r="C18" s="16" t="s">
        <v>210</v>
      </c>
      <c r="D18" s="16" t="s">
        <v>194</v>
      </c>
      <c r="E18" s="14" t="s">
        <v>161</v>
      </c>
      <c r="F18" s="15">
        <v>21</v>
      </c>
      <c r="G18" s="15">
        <v>936023000851</v>
      </c>
      <c r="H18" s="18">
        <v>46142</v>
      </c>
      <c r="I18" s="18">
        <v>46102</v>
      </c>
      <c r="J18" s="18">
        <v>46264</v>
      </c>
      <c r="K18" s="18">
        <v>46265</v>
      </c>
      <c r="L18" s="15">
        <v>150</v>
      </c>
      <c r="M18" s="14" t="s">
        <v>19</v>
      </c>
      <c r="N18" s="14" t="s">
        <v>157</v>
      </c>
      <c r="O18" s="20" t="s">
        <v>404</v>
      </c>
    </row>
    <row r="19" spans="1:15" ht="15.75" x14ac:dyDescent="0.25">
      <c r="A19" s="14">
        <v>18</v>
      </c>
      <c r="B19" s="15">
        <v>63001698</v>
      </c>
      <c r="C19" s="16" t="s">
        <v>182</v>
      </c>
      <c r="D19" s="16" t="s">
        <v>183</v>
      </c>
      <c r="E19" s="14" t="s">
        <v>161</v>
      </c>
      <c r="F19" s="15"/>
      <c r="G19" s="15">
        <v>910461009738</v>
      </c>
      <c r="H19" s="18">
        <v>46142</v>
      </c>
      <c r="I19" s="18">
        <v>46134</v>
      </c>
      <c r="J19" s="18">
        <v>46134</v>
      </c>
      <c r="K19" s="18">
        <v>46135</v>
      </c>
      <c r="L19" s="15">
        <v>1</v>
      </c>
      <c r="M19" s="14" t="s">
        <v>19</v>
      </c>
      <c r="N19" s="14" t="s">
        <v>157</v>
      </c>
      <c r="O19" s="20" t="s">
        <v>404</v>
      </c>
    </row>
    <row r="20" spans="1:15" ht="15.75" x14ac:dyDescent="0.25">
      <c r="A20" s="14">
        <v>19</v>
      </c>
      <c r="B20" s="15">
        <v>63001698</v>
      </c>
      <c r="C20" s="16" t="s">
        <v>182</v>
      </c>
      <c r="D20" s="16" t="s">
        <v>183</v>
      </c>
      <c r="E20" s="14" t="s">
        <v>161</v>
      </c>
      <c r="F20" s="15"/>
      <c r="G20" s="15">
        <v>910461009738</v>
      </c>
      <c r="H20" s="18">
        <v>46136</v>
      </c>
      <c r="I20" s="18">
        <v>46135</v>
      </c>
      <c r="J20" s="18">
        <v>46164</v>
      </c>
      <c r="K20" s="18">
        <v>46165</v>
      </c>
      <c r="L20" s="15">
        <v>30</v>
      </c>
      <c r="M20" s="14" t="s">
        <v>19</v>
      </c>
      <c r="N20" s="14" t="s">
        <v>165</v>
      </c>
      <c r="O20" s="20" t="s">
        <v>404</v>
      </c>
    </row>
    <row r="21" spans="1:15" ht="15.75" x14ac:dyDescent="0.25">
      <c r="A21" s="14">
        <v>20</v>
      </c>
      <c r="B21" s="15">
        <v>63001807</v>
      </c>
      <c r="C21" s="16" t="s">
        <v>241</v>
      </c>
      <c r="D21" s="16" t="s">
        <v>176</v>
      </c>
      <c r="E21" s="14" t="s">
        <v>155</v>
      </c>
      <c r="F21" s="15">
        <v>20</v>
      </c>
      <c r="G21" s="15">
        <v>973398000633</v>
      </c>
      <c r="H21" s="18">
        <v>46146</v>
      </c>
      <c r="I21" s="18">
        <v>46143</v>
      </c>
      <c r="J21" s="18">
        <v>46173</v>
      </c>
      <c r="K21" s="18">
        <v>46174</v>
      </c>
      <c r="L21" s="15">
        <v>31</v>
      </c>
      <c r="M21" s="14" t="s">
        <v>19</v>
      </c>
      <c r="N21" s="14" t="s">
        <v>165</v>
      </c>
      <c r="O21" s="20" t="s">
        <v>404</v>
      </c>
    </row>
    <row r="22" spans="1:15" ht="15.75" x14ac:dyDescent="0.25">
      <c r="A22" s="14">
        <v>21</v>
      </c>
      <c r="B22" s="15">
        <v>63012526</v>
      </c>
      <c r="C22" s="16" t="s">
        <v>271</v>
      </c>
      <c r="D22" s="16" t="s">
        <v>272</v>
      </c>
      <c r="E22" s="14" t="s">
        <v>161</v>
      </c>
      <c r="F22" s="15"/>
      <c r="G22" s="15">
        <v>928199000233</v>
      </c>
      <c r="H22" s="18">
        <v>46154</v>
      </c>
      <c r="I22" s="18">
        <v>46153</v>
      </c>
      <c r="J22" s="18">
        <v>46302</v>
      </c>
      <c r="K22" s="18">
        <v>46303</v>
      </c>
      <c r="L22" s="15">
        <v>150</v>
      </c>
      <c r="M22" s="14" t="s">
        <v>156</v>
      </c>
      <c r="N22" s="14" t="s">
        <v>157</v>
      </c>
      <c r="O22" s="20" t="s">
        <v>404</v>
      </c>
    </row>
    <row r="23" spans="1:15" ht="15.75" x14ac:dyDescent="0.25">
      <c r="A23" s="14">
        <v>22</v>
      </c>
      <c r="B23" s="15">
        <v>63001940</v>
      </c>
      <c r="C23" s="16" t="s">
        <v>211</v>
      </c>
      <c r="D23" s="16" t="s">
        <v>185</v>
      </c>
      <c r="E23" s="14" t="s">
        <v>155</v>
      </c>
      <c r="F23" s="15">
        <v>21</v>
      </c>
      <c r="G23" s="15">
        <v>800625010760</v>
      </c>
      <c r="H23" s="18">
        <v>46142</v>
      </c>
      <c r="I23" s="18">
        <v>46141</v>
      </c>
      <c r="J23" s="18">
        <v>46154</v>
      </c>
      <c r="K23" s="18">
        <v>46155</v>
      </c>
      <c r="L23" s="15">
        <v>14</v>
      </c>
      <c r="M23" s="14" t="s">
        <v>19</v>
      </c>
      <c r="N23" s="14" t="s">
        <v>157</v>
      </c>
      <c r="O23" s="20" t="s">
        <v>404</v>
      </c>
    </row>
    <row r="24" spans="1:15" ht="15.75" x14ac:dyDescent="0.25">
      <c r="A24" s="14">
        <v>23</v>
      </c>
      <c r="B24" s="15">
        <v>63001698</v>
      </c>
      <c r="C24" s="16" t="s">
        <v>182</v>
      </c>
      <c r="D24" s="16" t="s">
        <v>183</v>
      </c>
      <c r="E24" s="14" t="s">
        <v>161</v>
      </c>
      <c r="F24" s="15">
        <v>22</v>
      </c>
      <c r="G24" s="15">
        <v>910461009738</v>
      </c>
      <c r="H24" s="18" t="s">
        <v>387</v>
      </c>
      <c r="I24" s="18" t="s">
        <v>400</v>
      </c>
      <c r="J24" s="18" t="s">
        <v>398</v>
      </c>
      <c r="K24" s="18" t="s">
        <v>399</v>
      </c>
      <c r="L24" s="15">
        <v>17</v>
      </c>
      <c r="M24" s="14" t="s">
        <v>19</v>
      </c>
      <c r="N24" s="14" t="s">
        <v>165</v>
      </c>
      <c r="O24" s="20" t="s">
        <v>404</v>
      </c>
    </row>
    <row r="25" spans="1:15" ht="15.75" x14ac:dyDescent="0.25">
      <c r="A25" s="14">
        <v>24</v>
      </c>
      <c r="B25" s="15">
        <v>63001807</v>
      </c>
      <c r="C25" s="16" t="s">
        <v>241</v>
      </c>
      <c r="D25" s="16" t="s">
        <v>176</v>
      </c>
      <c r="E25" s="14" t="s">
        <v>155</v>
      </c>
      <c r="F25" s="15">
        <v>20</v>
      </c>
      <c r="G25" s="15">
        <v>973398000633</v>
      </c>
      <c r="H25" s="18" t="s">
        <v>387</v>
      </c>
      <c r="I25" s="18" t="s">
        <v>394</v>
      </c>
      <c r="J25" s="18" t="s">
        <v>395</v>
      </c>
      <c r="K25" s="18" t="s">
        <v>396</v>
      </c>
      <c r="L25" s="15">
        <v>30</v>
      </c>
      <c r="M25" s="14" t="s">
        <v>19</v>
      </c>
      <c r="N25" s="14" t="s">
        <v>165</v>
      </c>
      <c r="O25" s="20" t="s">
        <v>404</v>
      </c>
    </row>
    <row r="26" spans="1:15" ht="15.75" x14ac:dyDescent="0.25">
      <c r="A26" s="14">
        <v>25</v>
      </c>
      <c r="B26" s="15">
        <v>63001504</v>
      </c>
      <c r="C26" s="16" t="s">
        <v>373</v>
      </c>
      <c r="D26" s="16" t="s">
        <v>196</v>
      </c>
      <c r="E26" s="14" t="s">
        <v>161</v>
      </c>
      <c r="F26" s="15"/>
      <c r="G26" s="15">
        <v>910153002854</v>
      </c>
      <c r="H26" s="18" t="s">
        <v>387</v>
      </c>
      <c r="I26" s="18" t="s">
        <v>388</v>
      </c>
      <c r="J26" s="18" t="s">
        <v>389</v>
      </c>
      <c r="K26" s="18" t="s">
        <v>390</v>
      </c>
      <c r="L26" s="15">
        <v>15</v>
      </c>
      <c r="M26" s="14" t="s">
        <v>19</v>
      </c>
      <c r="N26" s="14" t="s">
        <v>157</v>
      </c>
      <c r="O26" s="20" t="s">
        <v>404</v>
      </c>
    </row>
    <row r="27" spans="1:15" ht="15.75" x14ac:dyDescent="0.25">
      <c r="A27" s="14">
        <v>26</v>
      </c>
      <c r="B27" s="15">
        <v>63001623</v>
      </c>
      <c r="C27" s="16" t="s">
        <v>200</v>
      </c>
      <c r="D27" s="16" t="s">
        <v>201</v>
      </c>
      <c r="E27" s="14" t="s">
        <v>161</v>
      </c>
      <c r="F27" s="15">
        <v>21</v>
      </c>
      <c r="G27" s="15">
        <v>921526006446</v>
      </c>
      <c r="H27" s="18">
        <v>46148</v>
      </c>
      <c r="I27" s="18">
        <v>46147</v>
      </c>
      <c r="J27" s="18">
        <v>46149</v>
      </c>
      <c r="K27" s="18">
        <v>46150</v>
      </c>
      <c r="L27" s="15">
        <v>3</v>
      </c>
      <c r="M27" s="14" t="s">
        <v>19</v>
      </c>
      <c r="N27" s="14" t="s">
        <v>157</v>
      </c>
      <c r="O27" s="20" t="s">
        <v>404</v>
      </c>
    </row>
    <row r="28" spans="1:15" ht="15.75" x14ac:dyDescent="0.25">
      <c r="A28" s="14">
        <v>27</v>
      </c>
      <c r="B28" s="15">
        <v>63001720</v>
      </c>
      <c r="C28" s="16" t="s">
        <v>325</v>
      </c>
      <c r="D28" s="16" t="s">
        <v>326</v>
      </c>
      <c r="E28" s="14" t="s">
        <v>161</v>
      </c>
      <c r="F28" s="15"/>
      <c r="G28" s="15">
        <v>930037051652</v>
      </c>
      <c r="H28" s="18">
        <v>46121</v>
      </c>
      <c r="I28" s="18">
        <v>46117</v>
      </c>
      <c r="J28" s="18">
        <v>46131</v>
      </c>
      <c r="K28" s="18">
        <v>46132</v>
      </c>
      <c r="L28" s="15">
        <v>15</v>
      </c>
      <c r="M28" s="14" t="s">
        <v>19</v>
      </c>
      <c r="N28" s="14" t="s">
        <v>157</v>
      </c>
      <c r="O28" s="20" t="s">
        <v>404</v>
      </c>
    </row>
    <row r="29" spans="1:15" ht="15.75" x14ac:dyDescent="0.25">
      <c r="A29" s="14">
        <v>28</v>
      </c>
      <c r="B29" s="15">
        <v>63001720</v>
      </c>
      <c r="C29" s="16" t="s">
        <v>325</v>
      </c>
      <c r="D29" s="16" t="s">
        <v>326</v>
      </c>
      <c r="E29" s="14" t="s">
        <v>161</v>
      </c>
      <c r="F29" s="15"/>
      <c r="G29" s="15">
        <v>930037051652</v>
      </c>
      <c r="H29" s="18">
        <v>46135</v>
      </c>
      <c r="I29" s="18">
        <v>46132</v>
      </c>
      <c r="J29" s="18">
        <v>46142</v>
      </c>
      <c r="K29" s="18">
        <v>46143</v>
      </c>
      <c r="L29" s="15">
        <v>11</v>
      </c>
      <c r="M29" s="14" t="s">
        <v>19</v>
      </c>
      <c r="N29" s="14" t="s">
        <v>157</v>
      </c>
      <c r="O29" s="20" t="s">
        <v>404</v>
      </c>
    </row>
    <row r="30" spans="1:15" ht="15.75" x14ac:dyDescent="0.25">
      <c r="A30" s="14">
        <v>29</v>
      </c>
      <c r="B30" s="15">
        <v>63011090</v>
      </c>
      <c r="C30" s="16" t="s">
        <v>329</v>
      </c>
      <c r="D30" s="16" t="s">
        <v>330</v>
      </c>
      <c r="E30" s="14" t="s">
        <v>161</v>
      </c>
      <c r="F30" s="15"/>
      <c r="G30" s="15">
        <v>960538004840</v>
      </c>
      <c r="H30" s="18">
        <v>46124</v>
      </c>
      <c r="I30" s="18">
        <v>46124</v>
      </c>
      <c r="J30" s="18">
        <v>46128</v>
      </c>
      <c r="K30" s="18">
        <v>46129</v>
      </c>
      <c r="L30" s="15">
        <v>5</v>
      </c>
      <c r="M30" s="14" t="s">
        <v>19</v>
      </c>
      <c r="N30" s="14" t="s">
        <v>157</v>
      </c>
      <c r="O30" s="20" t="s">
        <v>404</v>
      </c>
    </row>
    <row r="31" spans="1:15" ht="15.75" x14ac:dyDescent="0.25">
      <c r="A31" s="14">
        <v>30</v>
      </c>
      <c r="B31" s="15">
        <v>63013336</v>
      </c>
      <c r="C31" s="16" t="s">
        <v>353</v>
      </c>
      <c r="D31" s="16" t="s">
        <v>354</v>
      </c>
      <c r="E31" s="14" t="s">
        <v>161</v>
      </c>
      <c r="F31" s="15"/>
      <c r="G31" s="15">
        <v>910566004346</v>
      </c>
      <c r="H31" s="18">
        <v>46148</v>
      </c>
      <c r="I31" s="18">
        <v>46147</v>
      </c>
      <c r="J31" s="18">
        <v>46149</v>
      </c>
      <c r="K31" s="18">
        <v>46150</v>
      </c>
      <c r="L31" s="15">
        <v>3</v>
      </c>
      <c r="M31" s="14" t="s">
        <v>19</v>
      </c>
      <c r="N31" s="14" t="s">
        <v>157</v>
      </c>
      <c r="O31" s="20" t="s">
        <v>404</v>
      </c>
    </row>
    <row r="32" spans="1:15" ht="15.75" x14ac:dyDescent="0.25">
      <c r="A32" s="14">
        <v>31</v>
      </c>
      <c r="B32" s="15">
        <v>63001462</v>
      </c>
      <c r="C32" s="16" t="s">
        <v>320</v>
      </c>
      <c r="D32" s="16" t="s">
        <v>247</v>
      </c>
      <c r="E32" s="14" t="s">
        <v>155</v>
      </c>
      <c r="F32" s="15"/>
      <c r="G32" s="15">
        <v>796958000235</v>
      </c>
      <c r="H32" s="18">
        <v>46111</v>
      </c>
      <c r="I32" s="18">
        <v>46111</v>
      </c>
      <c r="J32" s="18">
        <v>46113</v>
      </c>
      <c r="K32" s="18">
        <v>46114</v>
      </c>
      <c r="L32" s="15">
        <v>3</v>
      </c>
      <c r="M32" s="14" t="s">
        <v>19</v>
      </c>
      <c r="N32" s="14" t="s">
        <v>157</v>
      </c>
      <c r="O32" s="20" t="s">
        <v>404</v>
      </c>
    </row>
    <row r="33" spans="1:15" ht="15.75" x14ac:dyDescent="0.25">
      <c r="A33" s="14">
        <v>32</v>
      </c>
      <c r="B33" s="15">
        <v>63012526</v>
      </c>
      <c r="C33" s="16" t="s">
        <v>271</v>
      </c>
      <c r="D33" s="16" t="s">
        <v>272</v>
      </c>
      <c r="E33" s="14" t="s">
        <v>161</v>
      </c>
      <c r="F33" s="15">
        <v>22</v>
      </c>
      <c r="G33" s="15">
        <v>928199000233</v>
      </c>
      <c r="H33" s="18">
        <v>46079</v>
      </c>
      <c r="I33" s="18">
        <v>46075</v>
      </c>
      <c r="J33" s="18">
        <v>46089</v>
      </c>
      <c r="K33" s="18">
        <v>46090</v>
      </c>
      <c r="L33" s="15">
        <v>15</v>
      </c>
      <c r="M33" s="14" t="s">
        <v>19</v>
      </c>
      <c r="N33" s="14" t="s">
        <v>157</v>
      </c>
      <c r="O33" s="20" t="s">
        <v>404</v>
      </c>
    </row>
    <row r="34" spans="1:15" ht="15.75" x14ac:dyDescent="0.25">
      <c r="A34" s="14">
        <v>33</v>
      </c>
      <c r="B34" s="15">
        <v>63001841</v>
      </c>
      <c r="C34" s="16" t="s">
        <v>190</v>
      </c>
      <c r="D34" s="16" t="s">
        <v>178</v>
      </c>
      <c r="E34" s="14" t="s">
        <v>155</v>
      </c>
      <c r="F34" s="15">
        <v>20</v>
      </c>
      <c r="G34" s="15">
        <v>722904000660</v>
      </c>
      <c r="H34" s="18">
        <v>46083</v>
      </c>
      <c r="I34" s="18">
        <v>46079</v>
      </c>
      <c r="J34" s="18">
        <v>46086</v>
      </c>
      <c r="K34" s="18">
        <v>46087</v>
      </c>
      <c r="L34" s="15">
        <v>8</v>
      </c>
      <c r="M34" s="14" t="s">
        <v>19</v>
      </c>
      <c r="N34" s="14" t="s">
        <v>157</v>
      </c>
      <c r="O34" s="20" t="s">
        <v>404</v>
      </c>
    </row>
    <row r="35" spans="1:15" ht="15.75" x14ac:dyDescent="0.25">
      <c r="A35" s="14">
        <v>34</v>
      </c>
      <c r="B35" s="15">
        <v>63001788</v>
      </c>
      <c r="C35" s="16" t="s">
        <v>276</v>
      </c>
      <c r="D35" s="16" t="s">
        <v>277</v>
      </c>
      <c r="E35" s="14" t="s">
        <v>155</v>
      </c>
      <c r="F35" s="15">
        <v>18</v>
      </c>
      <c r="G35" s="15">
        <v>872863000445</v>
      </c>
      <c r="H35" s="18">
        <v>46113</v>
      </c>
      <c r="I35" s="18">
        <v>46112</v>
      </c>
      <c r="J35" s="18">
        <v>46141</v>
      </c>
      <c r="K35" s="18">
        <v>46142</v>
      </c>
      <c r="L35" s="15">
        <v>30</v>
      </c>
      <c r="M35" s="14" t="s">
        <v>19</v>
      </c>
      <c r="N35" s="14" t="s">
        <v>157</v>
      </c>
      <c r="O35" s="20" t="s">
        <v>404</v>
      </c>
    </row>
    <row r="36" spans="1:15" ht="15.75" x14ac:dyDescent="0.25">
      <c r="A36" s="14">
        <v>35</v>
      </c>
      <c r="B36" s="15">
        <v>63001788</v>
      </c>
      <c r="C36" s="16" t="s">
        <v>276</v>
      </c>
      <c r="D36" s="16" t="s">
        <v>277</v>
      </c>
      <c r="E36" s="14" t="s">
        <v>155</v>
      </c>
      <c r="F36" s="15">
        <v>18</v>
      </c>
      <c r="G36" s="15">
        <v>872863000445</v>
      </c>
      <c r="H36" s="18">
        <v>46084</v>
      </c>
      <c r="I36" s="18">
        <v>46083</v>
      </c>
      <c r="J36" s="18">
        <v>46083</v>
      </c>
      <c r="K36" s="18">
        <v>46084</v>
      </c>
      <c r="L36" s="15">
        <v>1</v>
      </c>
      <c r="M36" s="14" t="s">
        <v>19</v>
      </c>
      <c r="N36" s="14" t="s">
        <v>157</v>
      </c>
      <c r="O36" s="20" t="s">
        <v>404</v>
      </c>
    </row>
    <row r="37" spans="1:15" ht="15.75" x14ac:dyDescent="0.25">
      <c r="A37" s="14">
        <v>36</v>
      </c>
      <c r="B37" s="15">
        <v>63001719</v>
      </c>
      <c r="C37" s="16" t="s">
        <v>163</v>
      </c>
      <c r="D37" s="16" t="s">
        <v>164</v>
      </c>
      <c r="E37" s="14" t="s">
        <v>161</v>
      </c>
      <c r="F37" s="15">
        <v>22</v>
      </c>
      <c r="G37" s="15">
        <v>922129005348</v>
      </c>
      <c r="H37" s="18">
        <v>46079</v>
      </c>
      <c r="I37" s="18">
        <v>46075</v>
      </c>
      <c r="J37" s="18">
        <v>46076</v>
      </c>
      <c r="K37" s="18">
        <v>46077</v>
      </c>
      <c r="L37" s="15">
        <v>2</v>
      </c>
      <c r="M37" s="14" t="s">
        <v>270</v>
      </c>
      <c r="N37" s="14" t="s">
        <v>157</v>
      </c>
      <c r="O37" s="20" t="s">
        <v>158</v>
      </c>
    </row>
    <row r="38" spans="1:15" ht="15.75" x14ac:dyDescent="0.25">
      <c r="A38" s="14">
        <v>37</v>
      </c>
      <c r="B38" s="15">
        <v>63001719</v>
      </c>
      <c r="C38" s="16" t="s">
        <v>163</v>
      </c>
      <c r="D38" s="16" t="s">
        <v>164</v>
      </c>
      <c r="E38" s="14" t="s">
        <v>161</v>
      </c>
      <c r="F38" s="15">
        <v>22</v>
      </c>
      <c r="G38" s="15">
        <v>922129005348</v>
      </c>
      <c r="H38" s="18">
        <v>46110</v>
      </c>
      <c r="I38" s="18">
        <v>46107</v>
      </c>
      <c r="J38" s="18">
        <v>46136</v>
      </c>
      <c r="K38" s="18">
        <v>46137</v>
      </c>
      <c r="L38" s="15">
        <v>30</v>
      </c>
      <c r="M38" s="14" t="s">
        <v>19</v>
      </c>
      <c r="N38" s="14" t="s">
        <v>165</v>
      </c>
      <c r="O38" s="20" t="s">
        <v>158</v>
      </c>
    </row>
  </sheetData>
  <autoFilter ref="A1:O1" xr:uid="{4945F34C-21D5-45A9-BDBC-C46EA506938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C69-3058-4BB4-8328-98DC20B6D62C}">
  <sheetPr codeName="Sheet6"/>
  <dimension ref="A1:O322"/>
  <sheetViews>
    <sheetView workbookViewId="0">
      <pane ySplit="1" topLeftCell="A297" activePane="bottomLeft" state="frozen"/>
      <selection pane="bottomLeft" activeCell="A323" sqref="A323:XFD323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40" bestFit="1" customWidth="1"/>
    <col min="4" max="4" width="38.28515625" bestFit="1" customWidth="1"/>
    <col min="5" max="5" width="30.7109375" bestFit="1" customWidth="1"/>
    <col min="6" max="6" width="16" bestFit="1" customWidth="1"/>
    <col min="7" max="7" width="21.7109375" bestFit="1" customWidth="1"/>
    <col min="8" max="8" width="27.28515625" style="19" bestFit="1" customWidth="1"/>
    <col min="9" max="9" width="26.42578125" style="19" bestFit="1" customWidth="1"/>
    <col min="10" max="10" width="23" style="19" bestFit="1" customWidth="1"/>
    <col min="11" max="11" width="23.5703125" style="19" bestFit="1" customWidth="1"/>
    <col min="12" max="12" width="32.42578125" bestFit="1" customWidth="1"/>
    <col min="13" max="13" width="18" bestFit="1" customWidth="1"/>
    <col min="14" max="14" width="21.28515625" bestFit="1" customWidth="1"/>
    <col min="15" max="15" width="36.7109375" bestFit="1" customWidth="1"/>
  </cols>
  <sheetData>
    <row r="1" spans="1:15" s="11" customFormat="1" ht="24" thickTop="1" x14ac:dyDescent="0.35">
      <c r="A1" s="12" t="s">
        <v>138</v>
      </c>
      <c r="B1" s="12" t="s">
        <v>139</v>
      </c>
      <c r="C1" s="12" t="s">
        <v>140</v>
      </c>
      <c r="D1" s="12" t="s">
        <v>141</v>
      </c>
      <c r="E1" s="12" t="s">
        <v>142</v>
      </c>
      <c r="F1" s="12" t="s">
        <v>143</v>
      </c>
      <c r="G1" s="12" t="s">
        <v>144</v>
      </c>
      <c r="H1" s="17" t="s">
        <v>145</v>
      </c>
      <c r="I1" s="17" t="s">
        <v>146</v>
      </c>
      <c r="J1" s="17" t="s">
        <v>147</v>
      </c>
      <c r="K1" s="17" t="s">
        <v>148</v>
      </c>
      <c r="L1" s="12" t="s">
        <v>149</v>
      </c>
      <c r="M1" s="12" t="s">
        <v>150</v>
      </c>
      <c r="N1" s="12" t="s">
        <v>151</v>
      </c>
      <c r="O1" s="13" t="s">
        <v>152</v>
      </c>
    </row>
    <row r="2" spans="1:15" ht="15.75" x14ac:dyDescent="0.25">
      <c r="A2" s="14">
        <v>1</v>
      </c>
      <c r="B2" s="15">
        <v>63001362</v>
      </c>
      <c r="C2" s="16" t="s">
        <v>235</v>
      </c>
      <c r="D2" s="16" t="s">
        <v>236</v>
      </c>
      <c r="E2" s="14" t="s">
        <v>161</v>
      </c>
      <c r="F2" s="15">
        <v>24</v>
      </c>
      <c r="G2" s="15">
        <v>850788004534</v>
      </c>
      <c r="H2" s="18">
        <v>46026</v>
      </c>
      <c r="I2" s="18">
        <v>46026</v>
      </c>
      <c r="J2" s="18">
        <v>46030</v>
      </c>
      <c r="K2" s="18">
        <v>46031</v>
      </c>
      <c r="L2" s="15">
        <v>5</v>
      </c>
      <c r="M2" s="14" t="s">
        <v>19</v>
      </c>
      <c r="N2" s="14" t="s">
        <v>157</v>
      </c>
      <c r="O2" s="20" t="s">
        <v>542</v>
      </c>
    </row>
    <row r="3" spans="1:15" ht="15.75" x14ac:dyDescent="0.25">
      <c r="A3" s="14">
        <v>2</v>
      </c>
      <c r="B3" s="15">
        <v>63001691</v>
      </c>
      <c r="C3" s="16" t="s">
        <v>166</v>
      </c>
      <c r="D3" s="16" t="s">
        <v>167</v>
      </c>
      <c r="E3" s="14" t="s">
        <v>161</v>
      </c>
      <c r="F3" s="15">
        <v>23</v>
      </c>
      <c r="G3" s="15">
        <v>920896010244</v>
      </c>
      <c r="H3" s="18">
        <v>46026</v>
      </c>
      <c r="I3" s="18">
        <v>46022</v>
      </c>
      <c r="J3" s="18">
        <v>46022</v>
      </c>
      <c r="K3" s="18">
        <v>46023</v>
      </c>
      <c r="L3" s="15">
        <v>1</v>
      </c>
      <c r="M3" s="14" t="s">
        <v>19</v>
      </c>
      <c r="N3" s="14" t="s">
        <v>157</v>
      </c>
      <c r="O3" s="20" t="s">
        <v>542</v>
      </c>
    </row>
    <row r="4" spans="1:15" ht="15.75" x14ac:dyDescent="0.25">
      <c r="A4" s="14">
        <v>3</v>
      </c>
      <c r="B4" s="15">
        <v>63036930</v>
      </c>
      <c r="C4" s="16" t="s">
        <v>170</v>
      </c>
      <c r="D4" s="16" t="s">
        <v>171</v>
      </c>
      <c r="E4" s="14" t="s">
        <v>155</v>
      </c>
      <c r="F4" s="15"/>
      <c r="G4" s="15">
        <v>15578001059</v>
      </c>
      <c r="H4" s="18">
        <v>46028</v>
      </c>
      <c r="I4" s="18">
        <v>46026</v>
      </c>
      <c r="J4" s="18">
        <v>46026</v>
      </c>
      <c r="K4" s="18">
        <v>46027</v>
      </c>
      <c r="L4" s="15">
        <v>1</v>
      </c>
      <c r="M4" s="14" t="s">
        <v>19</v>
      </c>
      <c r="N4" s="14" t="s">
        <v>157</v>
      </c>
      <c r="O4" s="20" t="s">
        <v>542</v>
      </c>
    </row>
    <row r="5" spans="1:15" ht="15.75" x14ac:dyDescent="0.25">
      <c r="A5" s="14">
        <v>4</v>
      </c>
      <c r="B5" s="15">
        <v>63001493</v>
      </c>
      <c r="C5" s="16" t="s">
        <v>172</v>
      </c>
      <c r="D5" s="16" t="s">
        <v>173</v>
      </c>
      <c r="E5" s="14" t="s">
        <v>161</v>
      </c>
      <c r="F5" s="15">
        <v>23</v>
      </c>
      <c r="G5" s="15">
        <v>822591003344</v>
      </c>
      <c r="H5" s="18">
        <v>46029</v>
      </c>
      <c r="I5" s="18">
        <v>46026</v>
      </c>
      <c r="J5" s="18">
        <v>46028</v>
      </c>
      <c r="K5" s="18">
        <v>46029</v>
      </c>
      <c r="L5" s="15">
        <v>3</v>
      </c>
      <c r="M5" s="14" t="s">
        <v>19</v>
      </c>
      <c r="N5" s="14" t="s">
        <v>157</v>
      </c>
      <c r="O5" s="20" t="s">
        <v>542</v>
      </c>
    </row>
    <row r="6" spans="1:15" ht="15.75" x14ac:dyDescent="0.25">
      <c r="A6" s="14">
        <v>5</v>
      </c>
      <c r="B6" s="15">
        <v>63036920</v>
      </c>
      <c r="C6" s="16" t="s">
        <v>174</v>
      </c>
      <c r="D6" s="16" t="s">
        <v>171</v>
      </c>
      <c r="E6" s="14" t="s">
        <v>155</v>
      </c>
      <c r="F6" s="15"/>
      <c r="G6" s="15">
        <v>923190001646</v>
      </c>
      <c r="H6" s="18">
        <v>46029</v>
      </c>
      <c r="I6" s="18">
        <v>46026</v>
      </c>
      <c r="J6" s="18">
        <v>46027</v>
      </c>
      <c r="K6" s="18">
        <v>46028</v>
      </c>
      <c r="L6" s="15">
        <v>2</v>
      </c>
      <c r="M6" s="14" t="s">
        <v>19</v>
      </c>
      <c r="N6" s="14" t="s">
        <v>157</v>
      </c>
      <c r="O6" s="20" t="s">
        <v>542</v>
      </c>
    </row>
    <row r="7" spans="1:15" ht="15.75" x14ac:dyDescent="0.25">
      <c r="A7" s="14">
        <v>6</v>
      </c>
      <c r="B7" s="15">
        <v>63001414</v>
      </c>
      <c r="C7" s="16" t="s">
        <v>239</v>
      </c>
      <c r="D7" s="16" t="s">
        <v>176</v>
      </c>
      <c r="E7" s="14" t="s">
        <v>155</v>
      </c>
      <c r="F7" s="15">
        <v>20</v>
      </c>
      <c r="G7" s="15">
        <v>891357004638</v>
      </c>
      <c r="H7" s="18">
        <v>46030</v>
      </c>
      <c r="I7" s="18">
        <v>46029</v>
      </c>
      <c r="J7" s="18">
        <v>46058</v>
      </c>
      <c r="K7" s="18">
        <v>46059</v>
      </c>
      <c r="L7" s="15">
        <v>30</v>
      </c>
      <c r="M7" s="14" t="s">
        <v>19</v>
      </c>
      <c r="N7" s="14" t="s">
        <v>157</v>
      </c>
      <c r="O7" s="20" t="s">
        <v>542</v>
      </c>
    </row>
    <row r="8" spans="1:15" ht="15.75" x14ac:dyDescent="0.25">
      <c r="A8" s="14">
        <v>7</v>
      </c>
      <c r="B8" s="15">
        <v>63001689</v>
      </c>
      <c r="C8" s="16" t="s">
        <v>177</v>
      </c>
      <c r="D8" s="16" t="s">
        <v>178</v>
      </c>
      <c r="E8" s="14" t="s">
        <v>155</v>
      </c>
      <c r="F8" s="15">
        <v>20</v>
      </c>
      <c r="G8" s="15">
        <v>950969007329</v>
      </c>
      <c r="H8" s="18">
        <v>46033</v>
      </c>
      <c r="I8" s="18">
        <v>46024</v>
      </c>
      <c r="J8" s="18">
        <v>46024</v>
      </c>
      <c r="K8" s="18">
        <v>46025</v>
      </c>
      <c r="L8" s="15">
        <v>1</v>
      </c>
      <c r="M8" s="14" t="s">
        <v>19</v>
      </c>
      <c r="N8" s="14" t="s">
        <v>157</v>
      </c>
      <c r="O8" s="20" t="s">
        <v>542</v>
      </c>
    </row>
    <row r="9" spans="1:15" ht="15.75" x14ac:dyDescent="0.25">
      <c r="A9" s="14">
        <v>8</v>
      </c>
      <c r="B9" s="15">
        <v>63001827</v>
      </c>
      <c r="C9" s="16" t="s">
        <v>179</v>
      </c>
      <c r="D9" s="16" t="s">
        <v>178</v>
      </c>
      <c r="E9" s="14" t="s">
        <v>155</v>
      </c>
      <c r="F9" s="15">
        <v>20</v>
      </c>
      <c r="G9" s="15">
        <v>670466005048</v>
      </c>
      <c r="H9" s="18">
        <v>46033</v>
      </c>
      <c r="I9" s="18">
        <v>46025</v>
      </c>
      <c r="J9" s="18">
        <v>46026</v>
      </c>
      <c r="K9" s="18">
        <v>46027</v>
      </c>
      <c r="L9" s="15">
        <v>2</v>
      </c>
      <c r="M9" s="14" t="s">
        <v>19</v>
      </c>
      <c r="N9" s="14" t="s">
        <v>157</v>
      </c>
      <c r="O9" s="20" t="s">
        <v>542</v>
      </c>
    </row>
    <row r="10" spans="1:15" ht="15.75" x14ac:dyDescent="0.25">
      <c r="A10" s="14">
        <v>9</v>
      </c>
      <c r="B10" s="15">
        <v>63001698</v>
      </c>
      <c r="C10" s="16" t="s">
        <v>182</v>
      </c>
      <c r="D10" s="16" t="s">
        <v>183</v>
      </c>
      <c r="E10" s="14" t="s">
        <v>161</v>
      </c>
      <c r="F10" s="15">
        <v>22</v>
      </c>
      <c r="G10" s="15">
        <v>910461009738</v>
      </c>
      <c r="H10" s="18">
        <v>46036</v>
      </c>
      <c r="I10" s="18">
        <v>46035</v>
      </c>
      <c r="J10" s="18">
        <v>46035</v>
      </c>
      <c r="K10" s="18">
        <v>46036</v>
      </c>
      <c r="L10" s="15">
        <v>1</v>
      </c>
      <c r="M10" s="14" t="s">
        <v>19</v>
      </c>
      <c r="N10" s="14" t="s">
        <v>165</v>
      </c>
      <c r="O10" s="20" t="s">
        <v>542</v>
      </c>
    </row>
    <row r="11" spans="1:15" ht="15.75" x14ac:dyDescent="0.25">
      <c r="A11" s="14">
        <v>10</v>
      </c>
      <c r="B11" s="15">
        <v>63001903</v>
      </c>
      <c r="C11" s="16" t="s">
        <v>184</v>
      </c>
      <c r="D11" s="16" t="s">
        <v>185</v>
      </c>
      <c r="E11" s="14" t="s">
        <v>161</v>
      </c>
      <c r="F11" s="15">
        <v>21</v>
      </c>
      <c r="G11" s="15">
        <v>748614000152</v>
      </c>
      <c r="H11" s="18">
        <v>46036</v>
      </c>
      <c r="I11" s="18">
        <v>46033</v>
      </c>
      <c r="J11" s="18">
        <v>46033</v>
      </c>
      <c r="K11" s="18">
        <v>46034</v>
      </c>
      <c r="L11" s="15">
        <v>1</v>
      </c>
      <c r="M11" s="14" t="s">
        <v>19</v>
      </c>
      <c r="N11" s="14" t="s">
        <v>157</v>
      </c>
      <c r="O11" s="20" t="s">
        <v>542</v>
      </c>
    </row>
    <row r="12" spans="1:15" ht="15.75" x14ac:dyDescent="0.25">
      <c r="A12" s="14">
        <v>11</v>
      </c>
      <c r="B12" s="15">
        <v>63001500</v>
      </c>
      <c r="C12" s="16" t="s">
        <v>186</v>
      </c>
      <c r="D12" s="16" t="s">
        <v>187</v>
      </c>
      <c r="E12" s="14" t="s">
        <v>155</v>
      </c>
      <c r="F12" s="15">
        <v>20</v>
      </c>
      <c r="G12" s="15">
        <v>850409004354</v>
      </c>
      <c r="H12" s="18">
        <v>46036</v>
      </c>
      <c r="I12" s="18">
        <v>46035</v>
      </c>
      <c r="J12" s="18">
        <v>46035</v>
      </c>
      <c r="K12" s="18">
        <v>46036</v>
      </c>
      <c r="L12" s="15">
        <v>1</v>
      </c>
      <c r="M12" s="14" t="s">
        <v>19</v>
      </c>
      <c r="N12" s="14" t="s">
        <v>165</v>
      </c>
      <c r="O12" s="20" t="s">
        <v>542</v>
      </c>
    </row>
    <row r="13" spans="1:15" ht="15.75" x14ac:dyDescent="0.25">
      <c r="A13" s="14">
        <v>12</v>
      </c>
      <c r="B13" s="15">
        <v>63001337</v>
      </c>
      <c r="C13" s="16" t="s">
        <v>188</v>
      </c>
      <c r="D13" s="16" t="s">
        <v>189</v>
      </c>
      <c r="E13" s="14" t="s">
        <v>161</v>
      </c>
      <c r="F13" s="15">
        <v>22</v>
      </c>
      <c r="G13" s="15">
        <v>890042008543</v>
      </c>
      <c r="H13" s="18">
        <v>46034</v>
      </c>
      <c r="I13" s="18">
        <v>46032</v>
      </c>
      <c r="J13" s="18">
        <v>46061</v>
      </c>
      <c r="K13" s="18">
        <v>46062</v>
      </c>
      <c r="L13" s="15">
        <v>30</v>
      </c>
      <c r="M13" s="14" t="s">
        <v>19</v>
      </c>
      <c r="N13" s="14" t="s">
        <v>165</v>
      </c>
      <c r="O13" s="20" t="s">
        <v>542</v>
      </c>
    </row>
    <row r="14" spans="1:15" ht="15.75" x14ac:dyDescent="0.25">
      <c r="A14" s="14">
        <v>13</v>
      </c>
      <c r="B14" s="15">
        <v>63001943</v>
      </c>
      <c r="C14" s="16" t="s">
        <v>180</v>
      </c>
      <c r="D14" s="16" t="s">
        <v>181</v>
      </c>
      <c r="E14" s="14" t="s">
        <v>161</v>
      </c>
      <c r="F14" s="15">
        <v>21</v>
      </c>
      <c r="G14" s="15">
        <v>810885004441</v>
      </c>
      <c r="H14" s="18">
        <v>46037</v>
      </c>
      <c r="I14" s="18">
        <v>46035</v>
      </c>
      <c r="J14" s="18">
        <v>46035</v>
      </c>
      <c r="K14" s="18">
        <v>46036</v>
      </c>
      <c r="L14" s="15">
        <v>1</v>
      </c>
      <c r="M14" s="14" t="s">
        <v>19</v>
      </c>
      <c r="N14" s="14" t="s">
        <v>165</v>
      </c>
      <c r="O14" s="20" t="s">
        <v>158</v>
      </c>
    </row>
    <row r="15" spans="1:15" ht="15.75" x14ac:dyDescent="0.25">
      <c r="A15" s="14">
        <v>14</v>
      </c>
      <c r="B15" s="15">
        <v>63001943</v>
      </c>
      <c r="C15" s="16" t="s">
        <v>180</v>
      </c>
      <c r="D15" s="16" t="s">
        <v>181</v>
      </c>
      <c r="E15" s="14" t="s">
        <v>161</v>
      </c>
      <c r="F15" s="15">
        <v>21</v>
      </c>
      <c r="G15" s="15">
        <v>810885004441</v>
      </c>
      <c r="H15" s="18">
        <v>46037</v>
      </c>
      <c r="I15" s="18">
        <v>46036</v>
      </c>
      <c r="J15" s="18">
        <v>46095</v>
      </c>
      <c r="K15" s="18">
        <v>46096</v>
      </c>
      <c r="L15" s="15">
        <v>60</v>
      </c>
      <c r="M15" s="14" t="s">
        <v>19</v>
      </c>
      <c r="N15" s="14" t="s">
        <v>165</v>
      </c>
      <c r="O15" s="20" t="s">
        <v>158</v>
      </c>
    </row>
    <row r="16" spans="1:15" ht="15.75" x14ac:dyDescent="0.25">
      <c r="A16" s="14">
        <v>15</v>
      </c>
      <c r="B16" s="15">
        <v>63004828</v>
      </c>
      <c r="C16" s="16" t="s">
        <v>191</v>
      </c>
      <c r="D16" s="16" t="s">
        <v>192</v>
      </c>
      <c r="E16" s="14" t="s">
        <v>155</v>
      </c>
      <c r="F16" s="15">
        <v>18</v>
      </c>
      <c r="G16" s="15">
        <v>743007001264</v>
      </c>
      <c r="H16" s="18">
        <v>46037</v>
      </c>
      <c r="I16" s="18">
        <v>46023</v>
      </c>
      <c r="J16" s="18">
        <v>46023</v>
      </c>
      <c r="K16" s="18">
        <v>46024</v>
      </c>
      <c r="L16" s="15">
        <v>1</v>
      </c>
      <c r="M16" s="14" t="s">
        <v>19</v>
      </c>
      <c r="N16" s="14" t="s">
        <v>157</v>
      </c>
      <c r="O16" s="20" t="s">
        <v>542</v>
      </c>
    </row>
    <row r="17" spans="1:15" ht="15.75" x14ac:dyDescent="0.25">
      <c r="A17" s="14">
        <v>16</v>
      </c>
      <c r="B17" s="15">
        <v>63001568</v>
      </c>
      <c r="C17" s="16" t="s">
        <v>195</v>
      </c>
      <c r="D17" s="16" t="s">
        <v>196</v>
      </c>
      <c r="E17" s="14" t="s">
        <v>161</v>
      </c>
      <c r="F17" s="15">
        <v>21</v>
      </c>
      <c r="G17" s="15">
        <v>921848005043</v>
      </c>
      <c r="H17" s="18">
        <v>46040</v>
      </c>
      <c r="I17" s="18">
        <v>46040</v>
      </c>
      <c r="J17" s="18">
        <v>46049</v>
      </c>
      <c r="K17" s="18">
        <v>46050</v>
      </c>
      <c r="L17" s="15">
        <v>10</v>
      </c>
      <c r="M17" s="14" t="s">
        <v>19</v>
      </c>
      <c r="N17" s="14" t="s">
        <v>157</v>
      </c>
      <c r="O17" s="20" t="s">
        <v>542</v>
      </c>
    </row>
    <row r="18" spans="1:15" ht="15.75" x14ac:dyDescent="0.25">
      <c r="A18" s="14">
        <v>17</v>
      </c>
      <c r="B18" s="15">
        <v>63001327</v>
      </c>
      <c r="C18" s="16" t="s">
        <v>197</v>
      </c>
      <c r="D18" s="16" t="s">
        <v>178</v>
      </c>
      <c r="E18" s="14" t="s">
        <v>155</v>
      </c>
      <c r="F18" s="15">
        <v>21</v>
      </c>
      <c r="G18" s="15">
        <v>780789005827</v>
      </c>
      <c r="H18" s="18">
        <v>46041</v>
      </c>
      <c r="I18" s="18">
        <v>46037</v>
      </c>
      <c r="J18" s="18">
        <v>46037</v>
      </c>
      <c r="K18" s="18">
        <v>46038</v>
      </c>
      <c r="L18" s="15">
        <v>1</v>
      </c>
      <c r="M18" s="14" t="s">
        <v>19</v>
      </c>
      <c r="N18" s="14" t="s">
        <v>157</v>
      </c>
      <c r="O18" s="20" t="s">
        <v>542</v>
      </c>
    </row>
    <row r="19" spans="1:15" ht="15.75" x14ac:dyDescent="0.25">
      <c r="A19" s="14">
        <v>18</v>
      </c>
      <c r="B19" s="15">
        <v>63001569</v>
      </c>
      <c r="C19" s="16" t="s">
        <v>198</v>
      </c>
      <c r="D19" s="16" t="s">
        <v>199</v>
      </c>
      <c r="E19" s="14" t="s">
        <v>155</v>
      </c>
      <c r="F19" s="15"/>
      <c r="G19" s="15">
        <v>910126007748</v>
      </c>
      <c r="H19" s="18">
        <v>46041</v>
      </c>
      <c r="I19" s="18">
        <v>46037</v>
      </c>
      <c r="J19" s="18">
        <v>46038</v>
      </c>
      <c r="K19" s="18">
        <v>46039</v>
      </c>
      <c r="L19" s="15">
        <v>2</v>
      </c>
      <c r="M19" s="14" t="s">
        <v>19</v>
      </c>
      <c r="N19" s="14" t="s">
        <v>157</v>
      </c>
      <c r="O19" s="20" t="s">
        <v>542</v>
      </c>
    </row>
    <row r="20" spans="1:15" ht="15.75" x14ac:dyDescent="0.25">
      <c r="A20" s="14">
        <v>19</v>
      </c>
      <c r="B20" s="15">
        <v>63001623</v>
      </c>
      <c r="C20" s="16" t="s">
        <v>200</v>
      </c>
      <c r="D20" s="16" t="s">
        <v>201</v>
      </c>
      <c r="E20" s="14" t="s">
        <v>161</v>
      </c>
      <c r="F20" s="15">
        <v>21</v>
      </c>
      <c r="G20" s="15">
        <v>921526006446</v>
      </c>
      <c r="H20" s="18">
        <v>46041</v>
      </c>
      <c r="I20" s="18">
        <v>46040</v>
      </c>
      <c r="J20" s="18">
        <v>46042</v>
      </c>
      <c r="K20" s="18">
        <v>46043</v>
      </c>
      <c r="L20" s="15">
        <v>3</v>
      </c>
      <c r="M20" s="14" t="s">
        <v>19</v>
      </c>
      <c r="N20" s="14" t="s">
        <v>157</v>
      </c>
      <c r="O20" s="20" t="s">
        <v>542</v>
      </c>
    </row>
    <row r="21" spans="1:15" ht="15.75" x14ac:dyDescent="0.25">
      <c r="A21" s="14">
        <v>20</v>
      </c>
      <c r="B21" s="15">
        <v>63001459</v>
      </c>
      <c r="C21" s="16" t="s">
        <v>202</v>
      </c>
      <c r="D21" s="16" t="s">
        <v>203</v>
      </c>
      <c r="E21" s="14" t="s">
        <v>155</v>
      </c>
      <c r="F21" s="15">
        <v>20</v>
      </c>
      <c r="G21" s="15">
        <v>910027029049</v>
      </c>
      <c r="H21" s="18">
        <v>46041</v>
      </c>
      <c r="I21" s="18">
        <v>46035</v>
      </c>
      <c r="J21" s="18">
        <v>46037</v>
      </c>
      <c r="K21" s="18">
        <v>46038</v>
      </c>
      <c r="L21" s="15">
        <v>3</v>
      </c>
      <c r="M21" s="14" t="s">
        <v>19</v>
      </c>
      <c r="N21" s="14" t="s">
        <v>157</v>
      </c>
      <c r="O21" s="20" t="s">
        <v>542</v>
      </c>
    </row>
    <row r="22" spans="1:15" ht="15.75" x14ac:dyDescent="0.25">
      <c r="A22" s="14">
        <v>21</v>
      </c>
      <c r="B22" s="15">
        <v>63001490</v>
      </c>
      <c r="C22" s="16" t="s">
        <v>159</v>
      </c>
      <c r="D22" s="16" t="s">
        <v>160</v>
      </c>
      <c r="E22" s="14" t="s">
        <v>161</v>
      </c>
      <c r="F22" s="15">
        <v>21</v>
      </c>
      <c r="G22" s="15">
        <v>922150004056</v>
      </c>
      <c r="H22" s="18">
        <v>46027</v>
      </c>
      <c r="I22" s="18">
        <v>46026</v>
      </c>
      <c r="J22" s="18">
        <v>46026</v>
      </c>
      <c r="K22" s="18">
        <v>46027</v>
      </c>
      <c r="L22" s="15">
        <v>1</v>
      </c>
      <c r="M22" s="14" t="s">
        <v>19</v>
      </c>
      <c r="N22" s="14" t="s">
        <v>157</v>
      </c>
      <c r="O22" s="20" t="s">
        <v>542</v>
      </c>
    </row>
    <row r="23" spans="1:15" ht="15.75" x14ac:dyDescent="0.25">
      <c r="A23" s="14">
        <v>22</v>
      </c>
      <c r="B23" s="15">
        <v>63001719</v>
      </c>
      <c r="C23" s="16" t="s">
        <v>163</v>
      </c>
      <c r="D23" s="16" t="s">
        <v>164</v>
      </c>
      <c r="E23" s="14" t="s">
        <v>161</v>
      </c>
      <c r="F23" s="15">
        <v>22</v>
      </c>
      <c r="G23" s="15">
        <v>922129005348</v>
      </c>
      <c r="H23" s="18">
        <v>46042</v>
      </c>
      <c r="I23" s="18">
        <v>46041</v>
      </c>
      <c r="J23" s="18">
        <v>46055</v>
      </c>
      <c r="K23" s="18">
        <v>46056</v>
      </c>
      <c r="L23" s="15">
        <v>15</v>
      </c>
      <c r="M23" s="14" t="s">
        <v>19</v>
      </c>
      <c r="N23" s="14" t="s">
        <v>165</v>
      </c>
      <c r="O23" s="20" t="s">
        <v>158</v>
      </c>
    </row>
    <row r="24" spans="1:15" ht="15.75" x14ac:dyDescent="0.25">
      <c r="A24" s="14">
        <v>23</v>
      </c>
      <c r="B24" s="15">
        <v>63001561</v>
      </c>
      <c r="C24" s="16" t="s">
        <v>204</v>
      </c>
      <c r="D24" s="16" t="s">
        <v>176</v>
      </c>
      <c r="E24" s="14" t="s">
        <v>155</v>
      </c>
      <c r="F24" s="15">
        <v>20</v>
      </c>
      <c r="G24" s="15">
        <v>908145000249</v>
      </c>
      <c r="H24" s="18">
        <v>46042</v>
      </c>
      <c r="I24" s="18">
        <v>46039</v>
      </c>
      <c r="J24" s="18">
        <v>46039</v>
      </c>
      <c r="K24" s="18">
        <v>46040</v>
      </c>
      <c r="L24" s="15">
        <v>1</v>
      </c>
      <c r="M24" s="14" t="s">
        <v>19</v>
      </c>
      <c r="N24" s="14" t="s">
        <v>157</v>
      </c>
      <c r="O24" s="20" t="s">
        <v>542</v>
      </c>
    </row>
    <row r="25" spans="1:15" ht="15.75" x14ac:dyDescent="0.25">
      <c r="A25" s="14">
        <v>24</v>
      </c>
      <c r="B25" s="15">
        <v>63001397</v>
      </c>
      <c r="C25" s="16" t="s">
        <v>205</v>
      </c>
      <c r="D25" s="16" t="s">
        <v>206</v>
      </c>
      <c r="E25" s="14" t="s">
        <v>161</v>
      </c>
      <c r="F25" s="15">
        <v>24</v>
      </c>
      <c r="G25" s="15">
        <v>854679000635</v>
      </c>
      <c r="H25" s="18">
        <v>46042</v>
      </c>
      <c r="I25" s="18">
        <v>46041</v>
      </c>
      <c r="J25" s="18">
        <v>46055</v>
      </c>
      <c r="K25" s="18">
        <v>46056</v>
      </c>
      <c r="L25" s="15">
        <v>15</v>
      </c>
      <c r="M25" s="14" t="s">
        <v>19</v>
      </c>
      <c r="N25" s="14" t="s">
        <v>165</v>
      </c>
      <c r="O25" s="20" t="s">
        <v>542</v>
      </c>
    </row>
    <row r="26" spans="1:15" ht="15.75" x14ac:dyDescent="0.25">
      <c r="A26" s="14">
        <v>25</v>
      </c>
      <c r="B26" s="15">
        <v>63001454</v>
      </c>
      <c r="C26" s="16" t="s">
        <v>207</v>
      </c>
      <c r="D26" s="16" t="s">
        <v>178</v>
      </c>
      <c r="E26" s="14" t="s">
        <v>155</v>
      </c>
      <c r="F26" s="15">
        <v>20</v>
      </c>
      <c r="G26" s="15">
        <v>850257011947</v>
      </c>
      <c r="H26" s="18">
        <v>46042</v>
      </c>
      <c r="I26" s="18">
        <v>46041</v>
      </c>
      <c r="J26" s="18">
        <v>46041</v>
      </c>
      <c r="K26" s="18">
        <v>46042</v>
      </c>
      <c r="L26" s="15">
        <v>1</v>
      </c>
      <c r="M26" s="14" t="s">
        <v>19</v>
      </c>
      <c r="N26" s="14" t="s">
        <v>157</v>
      </c>
      <c r="O26" s="20" t="s">
        <v>542</v>
      </c>
    </row>
    <row r="27" spans="1:15" ht="15.75" x14ac:dyDescent="0.25">
      <c r="A27" s="14">
        <v>26</v>
      </c>
      <c r="B27" s="15">
        <v>63030548</v>
      </c>
      <c r="C27" s="16" t="s">
        <v>208</v>
      </c>
      <c r="D27" s="16" t="s">
        <v>209</v>
      </c>
      <c r="E27" s="14" t="s">
        <v>155</v>
      </c>
      <c r="F27" s="15">
        <v>20</v>
      </c>
      <c r="G27" s="15">
        <v>951020010564</v>
      </c>
      <c r="H27" s="18">
        <v>46042</v>
      </c>
      <c r="I27" s="18">
        <v>46041</v>
      </c>
      <c r="J27" s="18">
        <v>46041</v>
      </c>
      <c r="K27" s="18">
        <v>46042</v>
      </c>
      <c r="L27" s="15">
        <v>1</v>
      </c>
      <c r="M27" s="14" t="s">
        <v>19</v>
      </c>
      <c r="N27" s="14" t="s">
        <v>157</v>
      </c>
      <c r="O27" s="20" t="s">
        <v>542</v>
      </c>
    </row>
    <row r="28" spans="1:15" ht="15.75" x14ac:dyDescent="0.25">
      <c r="A28" s="14">
        <v>27</v>
      </c>
      <c r="B28" s="15">
        <v>63001940</v>
      </c>
      <c r="C28" s="16" t="s">
        <v>211</v>
      </c>
      <c r="D28" s="16" t="s">
        <v>185</v>
      </c>
      <c r="E28" s="14" t="s">
        <v>155</v>
      </c>
      <c r="F28" s="15">
        <v>21</v>
      </c>
      <c r="G28" s="15">
        <v>800625010760</v>
      </c>
      <c r="H28" s="18">
        <v>46043</v>
      </c>
      <c r="I28" s="18">
        <v>46042</v>
      </c>
      <c r="J28" s="18">
        <v>46042</v>
      </c>
      <c r="K28" s="18">
        <v>46043</v>
      </c>
      <c r="L28" s="15">
        <v>1</v>
      </c>
      <c r="M28" s="14" t="s">
        <v>19</v>
      </c>
      <c r="N28" s="14" t="s">
        <v>157</v>
      </c>
      <c r="O28" s="20" t="s">
        <v>542</v>
      </c>
    </row>
    <row r="29" spans="1:15" ht="15.75" x14ac:dyDescent="0.25">
      <c r="A29" s="14">
        <v>28</v>
      </c>
      <c r="B29" s="15">
        <v>63001623</v>
      </c>
      <c r="C29" s="16" t="s">
        <v>200</v>
      </c>
      <c r="D29" s="16" t="s">
        <v>201</v>
      </c>
      <c r="E29" s="14" t="s">
        <v>161</v>
      </c>
      <c r="F29" s="15">
        <v>21</v>
      </c>
      <c r="G29" s="15">
        <v>921526006446</v>
      </c>
      <c r="H29" s="18">
        <v>46044</v>
      </c>
      <c r="I29" s="18">
        <v>46043</v>
      </c>
      <c r="J29" s="18">
        <v>46044</v>
      </c>
      <c r="K29" s="18">
        <v>46045</v>
      </c>
      <c r="L29" s="15">
        <v>2</v>
      </c>
      <c r="M29" s="14" t="s">
        <v>19</v>
      </c>
      <c r="N29" s="14" t="s">
        <v>157</v>
      </c>
      <c r="O29" s="20" t="s">
        <v>542</v>
      </c>
    </row>
    <row r="30" spans="1:15" ht="15.75" x14ac:dyDescent="0.25">
      <c r="A30" s="14">
        <v>29</v>
      </c>
      <c r="B30" s="15">
        <v>63001612</v>
      </c>
      <c r="C30" s="16" t="s">
        <v>212</v>
      </c>
      <c r="D30" s="16" t="s">
        <v>213</v>
      </c>
      <c r="E30" s="14" t="s">
        <v>161</v>
      </c>
      <c r="F30" s="15">
        <v>21</v>
      </c>
      <c r="G30" s="15">
        <v>940013049446</v>
      </c>
      <c r="H30" s="18">
        <v>46044</v>
      </c>
      <c r="I30" s="18">
        <v>46043</v>
      </c>
      <c r="J30" s="18">
        <v>46072</v>
      </c>
      <c r="K30" s="18">
        <v>46073</v>
      </c>
      <c r="L30" s="15">
        <v>30</v>
      </c>
      <c r="M30" s="14" t="s">
        <v>19</v>
      </c>
      <c r="N30" s="14" t="s">
        <v>165</v>
      </c>
      <c r="O30" s="20" t="s">
        <v>542</v>
      </c>
    </row>
    <row r="31" spans="1:15" ht="15.75" x14ac:dyDescent="0.25">
      <c r="A31" s="14">
        <v>30</v>
      </c>
      <c r="B31" s="15">
        <v>63001760</v>
      </c>
      <c r="C31" s="16" t="s">
        <v>214</v>
      </c>
      <c r="D31" s="16" t="s">
        <v>215</v>
      </c>
      <c r="E31" s="14" t="s">
        <v>161</v>
      </c>
      <c r="F31" s="15">
        <v>21</v>
      </c>
      <c r="G31" s="15">
        <v>690546005049</v>
      </c>
      <c r="H31" s="18">
        <v>46048</v>
      </c>
      <c r="I31" s="18">
        <v>46044</v>
      </c>
      <c r="J31" s="18">
        <v>46048</v>
      </c>
      <c r="K31" s="18">
        <v>46049</v>
      </c>
      <c r="L31" s="15">
        <v>5</v>
      </c>
      <c r="M31" s="14" t="s">
        <v>19</v>
      </c>
      <c r="N31" s="14" t="s">
        <v>157</v>
      </c>
      <c r="O31" s="20" t="s">
        <v>542</v>
      </c>
    </row>
    <row r="32" spans="1:15" ht="15.75" x14ac:dyDescent="0.25">
      <c r="A32" s="14">
        <v>31</v>
      </c>
      <c r="B32" s="15">
        <v>63001696</v>
      </c>
      <c r="C32" s="16" t="s">
        <v>216</v>
      </c>
      <c r="D32" s="16" t="s">
        <v>217</v>
      </c>
      <c r="E32" s="14" t="s">
        <v>155</v>
      </c>
      <c r="F32" s="15">
        <v>18</v>
      </c>
      <c r="G32" s="15">
        <v>941693002143</v>
      </c>
      <c r="H32" s="18">
        <v>46048</v>
      </c>
      <c r="I32" s="18">
        <v>46047</v>
      </c>
      <c r="J32" s="18">
        <v>46048</v>
      </c>
      <c r="K32" s="18">
        <v>46049</v>
      </c>
      <c r="L32" s="15">
        <v>2</v>
      </c>
      <c r="M32" s="14" t="s">
        <v>19</v>
      </c>
      <c r="N32" s="14" t="s">
        <v>157</v>
      </c>
      <c r="O32" s="20" t="s">
        <v>542</v>
      </c>
    </row>
    <row r="33" spans="1:15" ht="15.75" x14ac:dyDescent="0.25">
      <c r="A33" s="14">
        <v>32</v>
      </c>
      <c r="B33" s="15">
        <v>63001494</v>
      </c>
      <c r="C33" s="16" t="s">
        <v>218</v>
      </c>
      <c r="D33" s="16" t="s">
        <v>219</v>
      </c>
      <c r="E33" s="14" t="s">
        <v>161</v>
      </c>
      <c r="F33" s="15">
        <v>22</v>
      </c>
      <c r="G33" s="15">
        <v>832733004844</v>
      </c>
      <c r="H33" s="18">
        <v>46049</v>
      </c>
      <c r="I33" s="18">
        <v>46047</v>
      </c>
      <c r="J33" s="18">
        <v>46049</v>
      </c>
      <c r="K33" s="18">
        <v>46050</v>
      </c>
      <c r="L33" s="15">
        <v>3</v>
      </c>
      <c r="M33" s="14" t="s">
        <v>19</v>
      </c>
      <c r="N33" s="14" t="s">
        <v>157</v>
      </c>
      <c r="O33" s="20" t="s">
        <v>542</v>
      </c>
    </row>
    <row r="34" spans="1:15" ht="15.75" x14ac:dyDescent="0.25">
      <c r="A34" s="14">
        <v>33</v>
      </c>
      <c r="B34" s="15">
        <v>63001796</v>
      </c>
      <c r="C34" s="16" t="s">
        <v>220</v>
      </c>
      <c r="D34" s="16" t="s">
        <v>221</v>
      </c>
      <c r="E34" s="14" t="s">
        <v>155</v>
      </c>
      <c r="F34" s="15">
        <v>17</v>
      </c>
      <c r="G34" s="15">
        <v>896819000340</v>
      </c>
      <c r="H34" s="18">
        <v>46049</v>
      </c>
      <c r="I34" s="18">
        <v>46048</v>
      </c>
      <c r="J34" s="18">
        <v>46050</v>
      </c>
      <c r="K34" s="18">
        <v>46051</v>
      </c>
      <c r="L34" s="15">
        <v>3</v>
      </c>
      <c r="M34" s="14" t="s">
        <v>19</v>
      </c>
      <c r="N34" s="14" t="s">
        <v>157</v>
      </c>
      <c r="O34" s="20" t="s">
        <v>542</v>
      </c>
    </row>
    <row r="35" spans="1:15" ht="15.75" x14ac:dyDescent="0.25">
      <c r="A35" s="14">
        <v>34</v>
      </c>
      <c r="B35" s="15">
        <v>63001351</v>
      </c>
      <c r="C35" s="16" t="s">
        <v>222</v>
      </c>
      <c r="D35" s="16" t="s">
        <v>223</v>
      </c>
      <c r="E35" s="14" t="s">
        <v>155</v>
      </c>
      <c r="F35" s="15">
        <v>20</v>
      </c>
      <c r="G35" s="15">
        <v>930119003357</v>
      </c>
      <c r="H35" s="18">
        <v>46054</v>
      </c>
      <c r="I35" s="18">
        <v>46050</v>
      </c>
      <c r="J35" s="18">
        <v>46051</v>
      </c>
      <c r="K35" s="18">
        <v>46052</v>
      </c>
      <c r="L35" s="15">
        <v>2</v>
      </c>
      <c r="M35" s="14" t="s">
        <v>19</v>
      </c>
      <c r="N35" s="14" t="s">
        <v>157</v>
      </c>
      <c r="O35" s="20" t="s">
        <v>542</v>
      </c>
    </row>
    <row r="36" spans="1:15" ht="15.75" x14ac:dyDescent="0.25">
      <c r="A36" s="14">
        <v>35</v>
      </c>
      <c r="B36" s="15">
        <v>63001623</v>
      </c>
      <c r="C36" s="16" t="s">
        <v>200</v>
      </c>
      <c r="D36" s="16" t="s">
        <v>201</v>
      </c>
      <c r="E36" s="14" t="s">
        <v>161</v>
      </c>
      <c r="F36" s="15">
        <v>21</v>
      </c>
      <c r="G36" s="15">
        <v>921526006446</v>
      </c>
      <c r="H36" s="18">
        <v>46054</v>
      </c>
      <c r="I36" s="18">
        <v>46051</v>
      </c>
      <c r="J36" s="18">
        <v>46051</v>
      </c>
      <c r="K36" s="18">
        <v>46052</v>
      </c>
      <c r="L36" s="15">
        <v>1</v>
      </c>
      <c r="M36" s="14" t="s">
        <v>19</v>
      </c>
      <c r="N36" s="14" t="s">
        <v>157</v>
      </c>
      <c r="O36" s="20" t="s">
        <v>542</v>
      </c>
    </row>
    <row r="37" spans="1:15" ht="15.75" x14ac:dyDescent="0.25">
      <c r="A37" s="14">
        <v>36</v>
      </c>
      <c r="B37" s="15">
        <v>63001500</v>
      </c>
      <c r="C37" s="16" t="s">
        <v>186</v>
      </c>
      <c r="D37" s="16" t="s">
        <v>187</v>
      </c>
      <c r="E37" s="14" t="s">
        <v>155</v>
      </c>
      <c r="F37" s="15">
        <v>20</v>
      </c>
      <c r="G37" s="15">
        <v>850409004354</v>
      </c>
      <c r="H37" s="18">
        <v>46054</v>
      </c>
      <c r="I37" s="18">
        <v>46050</v>
      </c>
      <c r="J37" s="18">
        <v>46051</v>
      </c>
      <c r="K37" s="18">
        <v>46052</v>
      </c>
      <c r="L37" s="15">
        <v>2</v>
      </c>
      <c r="M37" s="14" t="s">
        <v>19</v>
      </c>
      <c r="N37" s="14" t="s">
        <v>157</v>
      </c>
      <c r="O37" s="20" t="s">
        <v>542</v>
      </c>
    </row>
    <row r="38" spans="1:15" ht="15.75" x14ac:dyDescent="0.25">
      <c r="A38" s="14">
        <v>37</v>
      </c>
      <c r="B38" s="15">
        <v>63001823</v>
      </c>
      <c r="C38" s="16" t="s">
        <v>224</v>
      </c>
      <c r="D38" s="16" t="s">
        <v>225</v>
      </c>
      <c r="E38" s="14" t="s">
        <v>155</v>
      </c>
      <c r="F38" s="15">
        <v>20</v>
      </c>
      <c r="G38" s="15">
        <v>923199001538</v>
      </c>
      <c r="H38" s="18">
        <v>46054</v>
      </c>
      <c r="I38" s="18">
        <v>46051</v>
      </c>
      <c r="J38" s="18">
        <v>46051</v>
      </c>
      <c r="K38" s="18">
        <v>46052</v>
      </c>
      <c r="L38" s="15">
        <v>1</v>
      </c>
      <c r="M38" s="14" t="s">
        <v>19</v>
      </c>
      <c r="N38" s="14" t="s">
        <v>157</v>
      </c>
      <c r="O38" s="20" t="s">
        <v>542</v>
      </c>
    </row>
    <row r="39" spans="1:15" ht="15.75" x14ac:dyDescent="0.25">
      <c r="A39" s="14">
        <v>38</v>
      </c>
      <c r="B39" s="15">
        <v>63001519</v>
      </c>
      <c r="C39" s="16" t="s">
        <v>226</v>
      </c>
      <c r="D39" s="16" t="s">
        <v>227</v>
      </c>
      <c r="E39" s="14" t="s">
        <v>161</v>
      </c>
      <c r="F39" s="15">
        <v>21</v>
      </c>
      <c r="G39" s="15">
        <v>910617003851</v>
      </c>
      <c r="H39" s="18">
        <v>46054</v>
      </c>
      <c r="I39" s="18">
        <v>46050</v>
      </c>
      <c r="J39" s="18">
        <v>46051</v>
      </c>
      <c r="K39" s="18">
        <v>46052</v>
      </c>
      <c r="L39" s="15">
        <v>2</v>
      </c>
      <c r="M39" s="14" t="s">
        <v>19</v>
      </c>
      <c r="N39" s="14" t="s">
        <v>157</v>
      </c>
      <c r="O39" s="20" t="s">
        <v>542</v>
      </c>
    </row>
    <row r="40" spans="1:15" ht="15.75" x14ac:dyDescent="0.25">
      <c r="A40" s="14">
        <v>39</v>
      </c>
      <c r="B40" s="15">
        <v>63001623</v>
      </c>
      <c r="C40" s="16" t="s">
        <v>200</v>
      </c>
      <c r="D40" s="16" t="s">
        <v>201</v>
      </c>
      <c r="E40" s="14" t="s">
        <v>161</v>
      </c>
      <c r="F40" s="15">
        <v>21</v>
      </c>
      <c r="G40" s="15">
        <v>921526006446</v>
      </c>
      <c r="H40" s="18">
        <v>46054</v>
      </c>
      <c r="I40" s="18">
        <v>46048</v>
      </c>
      <c r="J40" s="18">
        <v>46050</v>
      </c>
      <c r="K40" s="18">
        <v>46051</v>
      </c>
      <c r="L40" s="15">
        <v>3</v>
      </c>
      <c r="M40" s="14" t="s">
        <v>19</v>
      </c>
      <c r="N40" s="14" t="s">
        <v>157</v>
      </c>
      <c r="O40" s="20" t="s">
        <v>542</v>
      </c>
    </row>
    <row r="41" spans="1:15" ht="15.75" x14ac:dyDescent="0.25">
      <c r="A41" s="14">
        <v>40</v>
      </c>
      <c r="B41" s="15">
        <v>63001439</v>
      </c>
      <c r="C41" s="16" t="s">
        <v>228</v>
      </c>
      <c r="D41" s="16" t="s">
        <v>189</v>
      </c>
      <c r="E41" s="14" t="s">
        <v>161</v>
      </c>
      <c r="F41" s="15">
        <v>22</v>
      </c>
      <c r="G41" s="15">
        <v>893757001141</v>
      </c>
      <c r="H41" s="18">
        <v>46054</v>
      </c>
      <c r="I41" s="18">
        <v>46049</v>
      </c>
      <c r="J41" s="18">
        <v>46060</v>
      </c>
      <c r="K41" s="18">
        <v>46061</v>
      </c>
      <c r="L41" s="15">
        <v>12</v>
      </c>
      <c r="M41" s="14" t="s">
        <v>19</v>
      </c>
      <c r="N41" s="14" t="s">
        <v>157</v>
      </c>
      <c r="O41" s="20" t="s">
        <v>542</v>
      </c>
    </row>
    <row r="42" spans="1:15" ht="15.75" x14ac:dyDescent="0.25">
      <c r="A42" s="14">
        <v>41</v>
      </c>
      <c r="B42" s="15">
        <v>63001656</v>
      </c>
      <c r="C42" s="16" t="s">
        <v>229</v>
      </c>
      <c r="D42" s="16" t="s">
        <v>230</v>
      </c>
      <c r="E42" s="14" t="s">
        <v>231</v>
      </c>
      <c r="F42" s="15">
        <v>14</v>
      </c>
      <c r="G42" s="15">
        <v>870432021060</v>
      </c>
      <c r="H42" s="18">
        <v>46054</v>
      </c>
      <c r="I42" s="18">
        <v>46051</v>
      </c>
      <c r="J42" s="18">
        <v>46051</v>
      </c>
      <c r="K42" s="18">
        <v>46052</v>
      </c>
      <c r="L42" s="15">
        <v>1</v>
      </c>
      <c r="M42" s="14" t="s">
        <v>19</v>
      </c>
      <c r="N42" s="14" t="s">
        <v>157</v>
      </c>
      <c r="O42" s="20" t="s">
        <v>542</v>
      </c>
    </row>
    <row r="43" spans="1:15" ht="15.75" x14ac:dyDescent="0.25">
      <c r="A43" s="14">
        <v>42</v>
      </c>
      <c r="B43" s="15">
        <v>63001564</v>
      </c>
      <c r="C43" s="16" t="s">
        <v>232</v>
      </c>
      <c r="D43" s="16" t="s">
        <v>178</v>
      </c>
      <c r="E43" s="14" t="s">
        <v>155</v>
      </c>
      <c r="F43" s="15">
        <v>20</v>
      </c>
      <c r="G43" s="15">
        <v>899924000138</v>
      </c>
      <c r="H43" s="18">
        <v>46054</v>
      </c>
      <c r="I43" s="18">
        <v>46047</v>
      </c>
      <c r="J43" s="18">
        <v>46048</v>
      </c>
      <c r="K43" s="18">
        <v>46049</v>
      </c>
      <c r="L43" s="15">
        <v>2</v>
      </c>
      <c r="M43" s="14" t="s">
        <v>19</v>
      </c>
      <c r="N43" s="14" t="s">
        <v>157</v>
      </c>
      <c r="O43" s="20" t="s">
        <v>542</v>
      </c>
    </row>
    <row r="44" spans="1:15" ht="15.75" x14ac:dyDescent="0.25">
      <c r="A44" s="14">
        <v>43</v>
      </c>
      <c r="B44" s="15">
        <v>63001472</v>
      </c>
      <c r="C44" s="16" t="s">
        <v>175</v>
      </c>
      <c r="D44" s="16" t="s">
        <v>176</v>
      </c>
      <c r="E44" s="14" t="s">
        <v>155</v>
      </c>
      <c r="F44" s="15">
        <v>20</v>
      </c>
      <c r="G44" s="15">
        <v>880683011641</v>
      </c>
      <c r="H44" s="18">
        <v>46054</v>
      </c>
      <c r="I44" s="18">
        <v>46053</v>
      </c>
      <c r="J44" s="18">
        <v>46112</v>
      </c>
      <c r="K44" s="18">
        <v>46113</v>
      </c>
      <c r="L44" s="15">
        <v>60</v>
      </c>
      <c r="M44" s="14" t="s">
        <v>19</v>
      </c>
      <c r="N44" s="14" t="s">
        <v>165</v>
      </c>
      <c r="O44" s="20" t="s">
        <v>542</v>
      </c>
    </row>
    <row r="45" spans="1:15" ht="15.75" x14ac:dyDescent="0.25">
      <c r="A45" s="14">
        <v>44</v>
      </c>
      <c r="B45" s="15">
        <v>63001889</v>
      </c>
      <c r="C45" s="16" t="s">
        <v>233</v>
      </c>
      <c r="D45" s="16" t="s">
        <v>234</v>
      </c>
      <c r="E45" s="14" t="s">
        <v>161</v>
      </c>
      <c r="F45" s="15">
        <v>24</v>
      </c>
      <c r="G45" s="15">
        <v>710821004261</v>
      </c>
      <c r="H45" s="18">
        <v>46055</v>
      </c>
      <c r="I45" s="18">
        <v>46051</v>
      </c>
      <c r="J45" s="18">
        <v>46051</v>
      </c>
      <c r="K45" s="18">
        <v>46052</v>
      </c>
      <c r="L45" s="15">
        <v>1</v>
      </c>
      <c r="M45" s="14" t="s">
        <v>19</v>
      </c>
      <c r="N45" s="14" t="s">
        <v>157</v>
      </c>
      <c r="O45" s="20" t="s">
        <v>542</v>
      </c>
    </row>
    <row r="46" spans="1:15" ht="15.75" x14ac:dyDescent="0.25">
      <c r="A46" s="14">
        <v>45</v>
      </c>
      <c r="B46" s="15">
        <v>63001362</v>
      </c>
      <c r="C46" s="16" t="s">
        <v>235</v>
      </c>
      <c r="D46" s="16" t="s">
        <v>236</v>
      </c>
      <c r="E46" s="14" t="s">
        <v>161</v>
      </c>
      <c r="F46" s="15">
        <v>24</v>
      </c>
      <c r="G46" s="15">
        <v>850788004534</v>
      </c>
      <c r="H46" s="18">
        <v>46055</v>
      </c>
      <c r="I46" s="18">
        <v>46054</v>
      </c>
      <c r="J46" s="18">
        <v>46054</v>
      </c>
      <c r="K46" s="18">
        <v>46055</v>
      </c>
      <c r="L46" s="15">
        <v>1</v>
      </c>
      <c r="M46" s="14" t="s">
        <v>19</v>
      </c>
      <c r="N46" s="14" t="s">
        <v>157</v>
      </c>
      <c r="O46" s="20" t="s">
        <v>542</v>
      </c>
    </row>
    <row r="47" spans="1:15" ht="15.75" x14ac:dyDescent="0.25">
      <c r="A47" s="14">
        <v>46</v>
      </c>
      <c r="B47" s="15">
        <v>63037004</v>
      </c>
      <c r="C47" s="16" t="s">
        <v>237</v>
      </c>
      <c r="D47" s="16" t="s">
        <v>171</v>
      </c>
      <c r="E47" s="14" t="s">
        <v>155</v>
      </c>
      <c r="F47" s="15"/>
      <c r="G47" s="15">
        <v>30234025963</v>
      </c>
      <c r="H47" s="18">
        <v>46056</v>
      </c>
      <c r="I47" s="18">
        <v>46047</v>
      </c>
      <c r="J47" s="18">
        <v>46047</v>
      </c>
      <c r="K47" s="18">
        <v>46048</v>
      </c>
      <c r="L47" s="15">
        <v>1</v>
      </c>
      <c r="M47" s="14" t="s">
        <v>19</v>
      </c>
      <c r="N47" s="14" t="s">
        <v>157</v>
      </c>
      <c r="O47" s="20" t="s">
        <v>542</v>
      </c>
    </row>
    <row r="48" spans="1:15" ht="15.75" x14ac:dyDescent="0.25">
      <c r="A48" s="14">
        <v>47</v>
      </c>
      <c r="B48" s="15">
        <v>63001362</v>
      </c>
      <c r="C48" s="16" t="s">
        <v>235</v>
      </c>
      <c r="D48" s="16" t="s">
        <v>236</v>
      </c>
      <c r="E48" s="14" t="s">
        <v>161</v>
      </c>
      <c r="F48" s="15">
        <v>24</v>
      </c>
      <c r="G48" s="15">
        <v>850788004534</v>
      </c>
      <c r="H48" s="18">
        <v>46056</v>
      </c>
      <c r="I48" s="18">
        <v>46054</v>
      </c>
      <c r="J48" s="18">
        <v>46054</v>
      </c>
      <c r="K48" s="18">
        <v>46055</v>
      </c>
      <c r="L48" s="15">
        <v>1</v>
      </c>
      <c r="M48" s="14" t="s">
        <v>19</v>
      </c>
      <c r="N48" s="14" t="s">
        <v>157</v>
      </c>
      <c r="O48" s="20" t="s">
        <v>542</v>
      </c>
    </row>
    <row r="49" spans="1:15" ht="15.75" x14ac:dyDescent="0.25">
      <c r="A49" s="14">
        <v>48</v>
      </c>
      <c r="B49" s="15">
        <v>63001698</v>
      </c>
      <c r="C49" s="16" t="s">
        <v>182</v>
      </c>
      <c r="D49" s="16" t="s">
        <v>183</v>
      </c>
      <c r="E49" s="14" t="s">
        <v>161</v>
      </c>
      <c r="F49" s="15">
        <v>22</v>
      </c>
      <c r="G49" s="15">
        <v>910461009738</v>
      </c>
      <c r="H49" s="18">
        <v>46057</v>
      </c>
      <c r="I49" s="18">
        <v>46054</v>
      </c>
      <c r="J49" s="18">
        <v>46054</v>
      </c>
      <c r="K49" s="18">
        <v>46055</v>
      </c>
      <c r="L49" s="15">
        <v>1</v>
      </c>
      <c r="M49" s="14" t="s">
        <v>19</v>
      </c>
      <c r="N49" s="14" t="s">
        <v>157</v>
      </c>
      <c r="O49" s="20" t="s">
        <v>542</v>
      </c>
    </row>
    <row r="50" spans="1:15" ht="15.75" x14ac:dyDescent="0.25">
      <c r="A50" s="14">
        <v>49</v>
      </c>
      <c r="B50" s="15">
        <v>63019931</v>
      </c>
      <c r="C50" s="16" t="s">
        <v>238</v>
      </c>
      <c r="D50" s="16"/>
      <c r="E50" s="14"/>
      <c r="F50" s="15">
        <v>20</v>
      </c>
      <c r="G50" s="15">
        <v>881316003551</v>
      </c>
      <c r="H50" s="18">
        <v>46057</v>
      </c>
      <c r="I50" s="18">
        <v>46050</v>
      </c>
      <c r="J50" s="18">
        <v>46050</v>
      </c>
      <c r="K50" s="18">
        <v>46051</v>
      </c>
      <c r="L50" s="15">
        <v>1</v>
      </c>
      <c r="M50" s="14" t="s">
        <v>19</v>
      </c>
      <c r="N50" s="14" t="s">
        <v>157</v>
      </c>
      <c r="O50" s="20" t="s">
        <v>542</v>
      </c>
    </row>
    <row r="51" spans="1:15" ht="15.75" x14ac:dyDescent="0.25">
      <c r="A51" s="14">
        <v>50</v>
      </c>
      <c r="B51" s="15">
        <v>63001493</v>
      </c>
      <c r="C51" s="16" t="s">
        <v>172</v>
      </c>
      <c r="D51" s="16" t="s">
        <v>173</v>
      </c>
      <c r="E51" s="14" t="s">
        <v>161</v>
      </c>
      <c r="F51" s="15">
        <v>23</v>
      </c>
      <c r="G51" s="15">
        <v>822591003344</v>
      </c>
      <c r="H51" s="18">
        <v>46061</v>
      </c>
      <c r="I51" s="18">
        <v>46057</v>
      </c>
      <c r="J51" s="18">
        <v>46058</v>
      </c>
      <c r="K51" s="18">
        <v>46059</v>
      </c>
      <c r="L51" s="15">
        <v>2</v>
      </c>
      <c r="M51" s="14" t="s">
        <v>19</v>
      </c>
      <c r="N51" s="14" t="s">
        <v>157</v>
      </c>
      <c r="O51" s="20" t="s">
        <v>542</v>
      </c>
    </row>
    <row r="52" spans="1:15" ht="15.75" x14ac:dyDescent="0.25">
      <c r="A52" s="14">
        <v>51</v>
      </c>
      <c r="B52" s="15">
        <v>63001414</v>
      </c>
      <c r="C52" s="16" t="s">
        <v>239</v>
      </c>
      <c r="D52" s="16" t="s">
        <v>176</v>
      </c>
      <c r="E52" s="14" t="s">
        <v>155</v>
      </c>
      <c r="F52" s="15">
        <v>20</v>
      </c>
      <c r="G52" s="15">
        <v>891357004638</v>
      </c>
      <c r="H52" s="18">
        <v>46061</v>
      </c>
      <c r="I52" s="18">
        <v>46059</v>
      </c>
      <c r="J52" s="18">
        <v>46088</v>
      </c>
      <c r="K52" s="18">
        <v>46089</v>
      </c>
      <c r="L52" s="15">
        <v>30</v>
      </c>
      <c r="M52" s="14" t="s">
        <v>19</v>
      </c>
      <c r="N52" s="14" t="s">
        <v>157</v>
      </c>
      <c r="O52" s="20" t="s">
        <v>542</v>
      </c>
    </row>
    <row r="53" spans="1:15" ht="15.75" x14ac:dyDescent="0.25">
      <c r="A53" s="14">
        <v>52</v>
      </c>
      <c r="B53" s="15">
        <v>63001793</v>
      </c>
      <c r="C53" s="16" t="s">
        <v>240</v>
      </c>
      <c r="D53" s="16" t="s">
        <v>176</v>
      </c>
      <c r="E53" s="14" t="s">
        <v>155</v>
      </c>
      <c r="F53" s="15">
        <v>20</v>
      </c>
      <c r="G53" s="15">
        <v>950235009144</v>
      </c>
      <c r="H53" s="18">
        <v>46061</v>
      </c>
      <c r="I53" s="18">
        <v>46056</v>
      </c>
      <c r="J53" s="18">
        <v>46056</v>
      </c>
      <c r="K53" s="18">
        <v>46057</v>
      </c>
      <c r="L53" s="15">
        <v>1</v>
      </c>
      <c r="M53" s="14" t="s">
        <v>19</v>
      </c>
      <c r="N53" s="14" t="s">
        <v>157</v>
      </c>
      <c r="O53" s="20" t="s">
        <v>542</v>
      </c>
    </row>
    <row r="54" spans="1:15" ht="15.75" x14ac:dyDescent="0.25">
      <c r="A54" s="14">
        <v>53</v>
      </c>
      <c r="B54" s="15">
        <v>63001807</v>
      </c>
      <c r="C54" s="16" t="s">
        <v>241</v>
      </c>
      <c r="D54" s="16" t="s">
        <v>176</v>
      </c>
      <c r="E54" s="14" t="s">
        <v>155</v>
      </c>
      <c r="F54" s="15">
        <v>20</v>
      </c>
      <c r="G54" s="15">
        <v>973398000633</v>
      </c>
      <c r="H54" s="18">
        <v>46062</v>
      </c>
      <c r="I54" s="18">
        <v>46057</v>
      </c>
      <c r="J54" s="18">
        <v>46058</v>
      </c>
      <c r="K54" s="18">
        <v>46059</v>
      </c>
      <c r="L54" s="15">
        <v>2</v>
      </c>
      <c r="M54" s="14" t="s">
        <v>19</v>
      </c>
      <c r="N54" s="14" t="s">
        <v>157</v>
      </c>
      <c r="O54" s="20" t="s">
        <v>542</v>
      </c>
    </row>
    <row r="55" spans="1:15" ht="15.75" x14ac:dyDescent="0.25">
      <c r="A55" s="14">
        <v>54</v>
      </c>
      <c r="B55" s="15">
        <v>63001807</v>
      </c>
      <c r="C55" s="16" t="s">
        <v>241</v>
      </c>
      <c r="D55" s="16" t="s">
        <v>176</v>
      </c>
      <c r="E55" s="14" t="s">
        <v>155</v>
      </c>
      <c r="F55" s="15">
        <v>20</v>
      </c>
      <c r="G55" s="15">
        <v>973398000633</v>
      </c>
      <c r="H55" s="18">
        <v>46062</v>
      </c>
      <c r="I55" s="18">
        <v>46059</v>
      </c>
      <c r="J55" s="18">
        <v>46066</v>
      </c>
      <c r="K55" s="18">
        <v>46067</v>
      </c>
      <c r="L55" s="15">
        <v>8</v>
      </c>
      <c r="M55" s="14" t="s">
        <v>19</v>
      </c>
      <c r="N55" s="14" t="s">
        <v>165</v>
      </c>
      <c r="O55" s="20" t="s">
        <v>542</v>
      </c>
    </row>
    <row r="56" spans="1:15" ht="15.75" x14ac:dyDescent="0.25">
      <c r="A56" s="14">
        <v>55</v>
      </c>
      <c r="B56" s="15">
        <v>63001675</v>
      </c>
      <c r="C56" s="16" t="s">
        <v>242</v>
      </c>
      <c r="D56" s="16" t="s">
        <v>243</v>
      </c>
      <c r="E56" s="14" t="s">
        <v>161</v>
      </c>
      <c r="F56" s="15">
        <v>22</v>
      </c>
      <c r="G56" s="15">
        <v>921365006243</v>
      </c>
      <c r="H56" s="18">
        <v>46062</v>
      </c>
      <c r="I56" s="18">
        <v>46061</v>
      </c>
      <c r="J56" s="18">
        <v>46061</v>
      </c>
      <c r="K56" s="18">
        <v>46062</v>
      </c>
      <c r="L56" s="15">
        <v>1</v>
      </c>
      <c r="M56" s="14" t="s">
        <v>19</v>
      </c>
      <c r="N56" s="14" t="s">
        <v>157</v>
      </c>
      <c r="O56" s="20" t="s">
        <v>542</v>
      </c>
    </row>
    <row r="57" spans="1:15" ht="15.75" x14ac:dyDescent="0.25">
      <c r="A57" s="14">
        <v>56</v>
      </c>
      <c r="B57" s="15">
        <v>63001397</v>
      </c>
      <c r="C57" s="16" t="s">
        <v>205</v>
      </c>
      <c r="D57" s="16" t="s">
        <v>206</v>
      </c>
      <c r="E57" s="14" t="s">
        <v>161</v>
      </c>
      <c r="F57" s="15">
        <v>24</v>
      </c>
      <c r="G57" s="15">
        <v>854679000635</v>
      </c>
      <c r="H57" s="18">
        <v>46062</v>
      </c>
      <c r="I57" s="18">
        <v>46061</v>
      </c>
      <c r="J57" s="18">
        <v>46075</v>
      </c>
      <c r="K57" s="18">
        <v>46076</v>
      </c>
      <c r="L57" s="15">
        <v>15</v>
      </c>
      <c r="M57" s="14" t="s">
        <v>19</v>
      </c>
      <c r="N57" s="14" t="s">
        <v>165</v>
      </c>
      <c r="O57" s="20" t="s">
        <v>542</v>
      </c>
    </row>
    <row r="58" spans="1:15" ht="15.75" x14ac:dyDescent="0.25">
      <c r="A58" s="14">
        <v>57</v>
      </c>
      <c r="B58" s="15">
        <v>63001456</v>
      </c>
      <c r="C58" s="16" t="s">
        <v>244</v>
      </c>
      <c r="D58" s="16" t="s">
        <v>178</v>
      </c>
      <c r="E58" s="14" t="s">
        <v>155</v>
      </c>
      <c r="F58" s="15">
        <v>20</v>
      </c>
      <c r="G58" s="15">
        <v>890201023162</v>
      </c>
      <c r="H58" s="18">
        <v>46062</v>
      </c>
      <c r="I58" s="18">
        <v>46061</v>
      </c>
      <c r="J58" s="18">
        <v>46061</v>
      </c>
      <c r="K58" s="18">
        <v>46062</v>
      </c>
      <c r="L58" s="15">
        <v>1</v>
      </c>
      <c r="M58" s="14" t="s">
        <v>19</v>
      </c>
      <c r="N58" s="14" t="s">
        <v>157</v>
      </c>
      <c r="O58" s="20" t="s">
        <v>542</v>
      </c>
    </row>
    <row r="59" spans="1:15" ht="15.75" x14ac:dyDescent="0.25">
      <c r="A59" s="14">
        <v>58</v>
      </c>
      <c r="B59" s="15">
        <v>63036921</v>
      </c>
      <c r="C59" s="16" t="s">
        <v>245</v>
      </c>
      <c r="D59" s="16"/>
      <c r="E59" s="14"/>
      <c r="F59" s="15"/>
      <c r="G59" s="15">
        <v>20681008157</v>
      </c>
      <c r="H59" s="18">
        <v>46062</v>
      </c>
      <c r="I59" s="18">
        <v>46056</v>
      </c>
      <c r="J59" s="18">
        <v>46056</v>
      </c>
      <c r="K59" s="18">
        <v>46057</v>
      </c>
      <c r="L59" s="15">
        <v>1</v>
      </c>
      <c r="M59" s="14" t="s">
        <v>19</v>
      </c>
      <c r="N59" s="14" t="s">
        <v>157</v>
      </c>
      <c r="O59" s="20" t="s">
        <v>542</v>
      </c>
    </row>
    <row r="60" spans="1:15" ht="15.75" x14ac:dyDescent="0.25">
      <c r="A60" s="14">
        <v>59</v>
      </c>
      <c r="B60" s="15">
        <v>63001623</v>
      </c>
      <c r="C60" s="16" t="s">
        <v>200</v>
      </c>
      <c r="D60" s="16" t="s">
        <v>201</v>
      </c>
      <c r="E60" s="14" t="s">
        <v>161</v>
      </c>
      <c r="F60" s="15">
        <v>21</v>
      </c>
      <c r="G60" s="15">
        <v>921526006446</v>
      </c>
      <c r="H60" s="18">
        <v>46063</v>
      </c>
      <c r="I60" s="18">
        <v>46062</v>
      </c>
      <c r="J60" s="18">
        <v>46065</v>
      </c>
      <c r="K60" s="18">
        <v>46066</v>
      </c>
      <c r="L60" s="15">
        <v>4</v>
      </c>
      <c r="M60" s="14" t="s">
        <v>19</v>
      </c>
      <c r="N60" s="14" t="s">
        <v>157</v>
      </c>
      <c r="O60" s="20" t="s">
        <v>542</v>
      </c>
    </row>
    <row r="61" spans="1:15" ht="15.75" x14ac:dyDescent="0.25">
      <c r="A61" s="14">
        <v>60</v>
      </c>
      <c r="B61" s="15">
        <v>63037032</v>
      </c>
      <c r="C61" s="16" t="s">
        <v>246</v>
      </c>
      <c r="D61" s="16" t="s">
        <v>247</v>
      </c>
      <c r="E61" s="14"/>
      <c r="F61" s="15"/>
      <c r="G61" s="15">
        <v>2496003556</v>
      </c>
      <c r="H61" s="18">
        <v>46063</v>
      </c>
      <c r="I61" s="18">
        <v>46061</v>
      </c>
      <c r="J61" s="18">
        <v>46062</v>
      </c>
      <c r="K61" s="18">
        <v>46063</v>
      </c>
      <c r="L61" s="15">
        <v>2</v>
      </c>
      <c r="M61" s="14" t="s">
        <v>19</v>
      </c>
      <c r="N61" s="14" t="s">
        <v>157</v>
      </c>
      <c r="O61" s="20" t="s">
        <v>542</v>
      </c>
    </row>
    <row r="62" spans="1:15" ht="15.75" x14ac:dyDescent="0.25">
      <c r="A62" s="14">
        <v>61</v>
      </c>
      <c r="B62" s="15">
        <v>63001718</v>
      </c>
      <c r="C62" s="16" t="s">
        <v>248</v>
      </c>
      <c r="D62" s="16" t="s">
        <v>249</v>
      </c>
      <c r="E62" s="14" t="s">
        <v>155</v>
      </c>
      <c r="F62" s="15"/>
      <c r="G62" s="15">
        <v>920121037452</v>
      </c>
      <c r="H62" s="18">
        <v>46068</v>
      </c>
      <c r="I62" s="18">
        <v>46067</v>
      </c>
      <c r="J62" s="18">
        <v>46087</v>
      </c>
      <c r="K62" s="18">
        <v>46088</v>
      </c>
      <c r="L62" s="15">
        <v>21</v>
      </c>
      <c r="M62" s="14" t="s">
        <v>19</v>
      </c>
      <c r="N62" s="14" t="s">
        <v>165</v>
      </c>
      <c r="O62" s="20" t="s">
        <v>542</v>
      </c>
    </row>
    <row r="63" spans="1:15" ht="15.75" x14ac:dyDescent="0.25">
      <c r="A63" s="14">
        <v>62</v>
      </c>
      <c r="B63" s="15">
        <v>63001827</v>
      </c>
      <c r="C63" s="16" t="s">
        <v>179</v>
      </c>
      <c r="D63" s="16" t="s">
        <v>178</v>
      </c>
      <c r="E63" s="14" t="s">
        <v>155</v>
      </c>
      <c r="F63" s="15">
        <v>20</v>
      </c>
      <c r="G63" s="15">
        <v>670466005048</v>
      </c>
      <c r="H63" s="18">
        <v>46068</v>
      </c>
      <c r="I63" s="18">
        <v>46065</v>
      </c>
      <c r="J63" s="18">
        <v>46066</v>
      </c>
      <c r="K63" s="18">
        <v>46067</v>
      </c>
      <c r="L63" s="15">
        <v>2</v>
      </c>
      <c r="M63" s="14" t="s">
        <v>19</v>
      </c>
      <c r="N63" s="14" t="s">
        <v>157</v>
      </c>
      <c r="O63" s="20" t="s">
        <v>542</v>
      </c>
    </row>
    <row r="64" spans="1:15" ht="15.75" x14ac:dyDescent="0.25">
      <c r="A64" s="14">
        <v>63</v>
      </c>
      <c r="B64" s="15">
        <v>63001337</v>
      </c>
      <c r="C64" s="16" t="s">
        <v>188</v>
      </c>
      <c r="D64" s="16" t="s">
        <v>189</v>
      </c>
      <c r="E64" s="14" t="s">
        <v>161</v>
      </c>
      <c r="F64" s="15">
        <v>22</v>
      </c>
      <c r="G64" s="15">
        <v>890042008543</v>
      </c>
      <c r="H64" s="18">
        <v>46065</v>
      </c>
      <c r="I64" s="18">
        <v>46062</v>
      </c>
      <c r="J64" s="18">
        <v>46091</v>
      </c>
      <c r="K64" s="18">
        <v>46092</v>
      </c>
      <c r="L64" s="15">
        <v>30</v>
      </c>
      <c r="M64" s="14" t="s">
        <v>19</v>
      </c>
      <c r="N64" s="14" t="s">
        <v>165</v>
      </c>
      <c r="O64" s="20" t="s">
        <v>542</v>
      </c>
    </row>
    <row r="65" spans="1:15" ht="15.75" x14ac:dyDescent="0.25">
      <c r="A65" s="14">
        <v>64</v>
      </c>
      <c r="B65" s="15">
        <v>63001807</v>
      </c>
      <c r="C65" s="16" t="s">
        <v>241</v>
      </c>
      <c r="D65" s="16" t="s">
        <v>176</v>
      </c>
      <c r="E65" s="14" t="s">
        <v>155</v>
      </c>
      <c r="F65" s="15">
        <v>20</v>
      </c>
      <c r="G65" s="15">
        <v>973398000633</v>
      </c>
      <c r="H65" s="18">
        <v>46068</v>
      </c>
      <c r="I65" s="18">
        <v>46067</v>
      </c>
      <c r="J65" s="18">
        <v>46072</v>
      </c>
      <c r="K65" s="18">
        <v>46073</v>
      </c>
      <c r="L65" s="15">
        <v>6</v>
      </c>
      <c r="M65" s="14" t="s">
        <v>19</v>
      </c>
      <c r="N65" s="14" t="s">
        <v>165</v>
      </c>
      <c r="O65" s="20" t="s">
        <v>542</v>
      </c>
    </row>
    <row r="66" spans="1:15" ht="15.75" x14ac:dyDescent="0.25">
      <c r="A66" s="14">
        <v>65</v>
      </c>
      <c r="B66" s="15">
        <v>63001716</v>
      </c>
      <c r="C66" s="16" t="s">
        <v>253</v>
      </c>
      <c r="D66" s="16" t="s">
        <v>254</v>
      </c>
      <c r="E66" s="14" t="s">
        <v>155</v>
      </c>
      <c r="F66" s="15">
        <v>18</v>
      </c>
      <c r="G66" s="15">
        <v>953136001550</v>
      </c>
      <c r="H66" s="18">
        <v>46068</v>
      </c>
      <c r="I66" s="18">
        <v>46068</v>
      </c>
      <c r="J66" s="18">
        <v>46068</v>
      </c>
      <c r="K66" s="18">
        <v>46069</v>
      </c>
      <c r="L66" s="15">
        <v>1</v>
      </c>
      <c r="M66" s="14" t="s">
        <v>19</v>
      </c>
      <c r="N66" s="14" t="s">
        <v>157</v>
      </c>
      <c r="O66" s="20" t="s">
        <v>542</v>
      </c>
    </row>
    <row r="67" spans="1:15" ht="15.75" x14ac:dyDescent="0.25">
      <c r="A67" s="14">
        <v>66</v>
      </c>
      <c r="B67" s="15">
        <v>63010990</v>
      </c>
      <c r="C67" s="16" t="s">
        <v>255</v>
      </c>
      <c r="D67" s="16" t="s">
        <v>247</v>
      </c>
      <c r="E67" s="14" t="s">
        <v>155</v>
      </c>
      <c r="F67" s="15">
        <v>20</v>
      </c>
      <c r="G67" s="15">
        <v>22671003660</v>
      </c>
      <c r="H67" s="18">
        <v>46068</v>
      </c>
      <c r="I67" s="18">
        <v>46068</v>
      </c>
      <c r="J67" s="18">
        <v>46071</v>
      </c>
      <c r="K67" s="18">
        <v>46072</v>
      </c>
      <c r="L67" s="15">
        <v>4</v>
      </c>
      <c r="M67" s="14" t="s">
        <v>19</v>
      </c>
      <c r="N67" s="14" t="s">
        <v>157</v>
      </c>
      <c r="O67" s="20" t="s">
        <v>542</v>
      </c>
    </row>
    <row r="68" spans="1:15" ht="15.75" x14ac:dyDescent="0.25">
      <c r="A68" s="14">
        <v>67</v>
      </c>
      <c r="B68" s="15">
        <v>63001518</v>
      </c>
      <c r="C68" s="16" t="s">
        <v>256</v>
      </c>
      <c r="D68" s="16" t="s">
        <v>257</v>
      </c>
      <c r="E68" s="14" t="s">
        <v>155</v>
      </c>
      <c r="F68" s="15">
        <v>20</v>
      </c>
      <c r="G68" s="15">
        <v>920651011653</v>
      </c>
      <c r="H68" s="18">
        <v>46068</v>
      </c>
      <c r="I68" s="18">
        <v>46064</v>
      </c>
      <c r="J68" s="18">
        <v>46064</v>
      </c>
      <c r="K68" s="18">
        <v>46065</v>
      </c>
      <c r="L68" s="15">
        <v>1</v>
      </c>
      <c r="M68" s="14" t="s">
        <v>19</v>
      </c>
      <c r="N68" s="14" t="s">
        <v>157</v>
      </c>
      <c r="O68" s="20" t="s">
        <v>542</v>
      </c>
    </row>
    <row r="69" spans="1:15" ht="15.75" x14ac:dyDescent="0.25">
      <c r="A69" s="14">
        <v>68</v>
      </c>
      <c r="B69" s="15">
        <v>63010875</v>
      </c>
      <c r="C69" s="16" t="s">
        <v>258</v>
      </c>
      <c r="D69" s="16" t="s">
        <v>176</v>
      </c>
      <c r="E69" s="14" t="s">
        <v>155</v>
      </c>
      <c r="F69" s="15">
        <v>20</v>
      </c>
      <c r="G69" s="15">
        <v>910034047646</v>
      </c>
      <c r="H69" s="18">
        <v>46068</v>
      </c>
      <c r="I69" s="18">
        <v>46063</v>
      </c>
      <c r="J69" s="18">
        <v>46063</v>
      </c>
      <c r="K69" s="18">
        <v>46064</v>
      </c>
      <c r="L69" s="15">
        <v>1</v>
      </c>
      <c r="M69" s="14" t="s">
        <v>19</v>
      </c>
      <c r="N69" s="14" t="s">
        <v>157</v>
      </c>
      <c r="O69" s="20" t="s">
        <v>542</v>
      </c>
    </row>
    <row r="70" spans="1:15" ht="15.75" x14ac:dyDescent="0.25">
      <c r="A70" s="14">
        <v>69</v>
      </c>
      <c r="B70" s="15">
        <v>63001909</v>
      </c>
      <c r="C70" s="16" t="s">
        <v>259</v>
      </c>
      <c r="D70" s="16" t="s">
        <v>260</v>
      </c>
      <c r="E70" s="14" t="s">
        <v>161</v>
      </c>
      <c r="F70" s="15">
        <v>23</v>
      </c>
      <c r="G70" s="15">
        <v>803548002646</v>
      </c>
      <c r="H70" s="18">
        <v>46068</v>
      </c>
      <c r="I70" s="18">
        <v>46061</v>
      </c>
      <c r="J70" s="18">
        <v>46063</v>
      </c>
      <c r="K70" s="18">
        <v>46064</v>
      </c>
      <c r="L70" s="15">
        <v>3</v>
      </c>
      <c r="M70" s="14" t="s">
        <v>19</v>
      </c>
      <c r="N70" s="14" t="s">
        <v>157</v>
      </c>
      <c r="O70" s="20" t="s">
        <v>542</v>
      </c>
    </row>
    <row r="71" spans="1:15" ht="15.75" x14ac:dyDescent="0.25">
      <c r="A71" s="14">
        <v>70</v>
      </c>
      <c r="B71" s="15">
        <v>63001588</v>
      </c>
      <c r="C71" s="16" t="s">
        <v>261</v>
      </c>
      <c r="D71" s="16" t="s">
        <v>262</v>
      </c>
      <c r="E71" s="14" t="s">
        <v>161</v>
      </c>
      <c r="F71" s="15">
        <v>23</v>
      </c>
      <c r="G71" s="15">
        <v>900500003466</v>
      </c>
      <c r="H71" s="18">
        <v>46065</v>
      </c>
      <c r="I71" s="18">
        <v>46057</v>
      </c>
      <c r="J71" s="18">
        <v>46058</v>
      </c>
      <c r="K71" s="18">
        <v>46059</v>
      </c>
      <c r="L71" s="15">
        <v>2</v>
      </c>
      <c r="M71" s="14" t="s">
        <v>19</v>
      </c>
      <c r="N71" s="14" t="s">
        <v>157</v>
      </c>
      <c r="O71" s="20" t="s">
        <v>542</v>
      </c>
    </row>
    <row r="72" spans="1:15" ht="15.75" x14ac:dyDescent="0.25">
      <c r="A72" s="14">
        <v>71</v>
      </c>
      <c r="B72" s="15">
        <v>63037003</v>
      </c>
      <c r="C72" s="16" t="s">
        <v>263</v>
      </c>
      <c r="D72" s="16" t="s">
        <v>171</v>
      </c>
      <c r="E72" s="14" t="s">
        <v>155</v>
      </c>
      <c r="F72" s="15"/>
      <c r="G72" s="15">
        <v>20629005365</v>
      </c>
      <c r="H72" s="18">
        <v>46070</v>
      </c>
      <c r="I72" s="18">
        <v>46061</v>
      </c>
      <c r="J72" s="18">
        <v>46061</v>
      </c>
      <c r="K72" s="18">
        <v>46062</v>
      </c>
      <c r="L72" s="15">
        <v>1</v>
      </c>
      <c r="M72" s="14" t="s">
        <v>19</v>
      </c>
      <c r="N72" s="14" t="s">
        <v>157</v>
      </c>
      <c r="O72" s="20" t="s">
        <v>542</v>
      </c>
    </row>
    <row r="73" spans="1:15" ht="15.75" x14ac:dyDescent="0.25">
      <c r="A73" s="14">
        <v>72</v>
      </c>
      <c r="B73" s="15">
        <v>63001698</v>
      </c>
      <c r="C73" s="16" t="s">
        <v>182</v>
      </c>
      <c r="D73" s="16" t="s">
        <v>183</v>
      </c>
      <c r="E73" s="14" t="s">
        <v>161</v>
      </c>
      <c r="F73" s="15">
        <v>22</v>
      </c>
      <c r="G73" s="15">
        <v>910461009738</v>
      </c>
      <c r="H73" s="18">
        <v>46068</v>
      </c>
      <c r="I73" s="18">
        <v>46065</v>
      </c>
      <c r="J73" s="18">
        <v>46065</v>
      </c>
      <c r="K73" s="18">
        <v>46066</v>
      </c>
      <c r="L73" s="15">
        <v>1</v>
      </c>
      <c r="M73" s="14" t="s">
        <v>19</v>
      </c>
      <c r="N73" s="14" t="s">
        <v>157</v>
      </c>
      <c r="O73" s="20" t="s">
        <v>542</v>
      </c>
    </row>
    <row r="74" spans="1:15" ht="15.75" x14ac:dyDescent="0.25">
      <c r="A74" s="14">
        <v>73</v>
      </c>
      <c r="B74" s="15">
        <v>63001500</v>
      </c>
      <c r="C74" s="16" t="s">
        <v>186</v>
      </c>
      <c r="D74" s="16" t="s">
        <v>187</v>
      </c>
      <c r="E74" s="14" t="s">
        <v>155</v>
      </c>
      <c r="F74" s="15">
        <v>20</v>
      </c>
      <c r="G74" s="15">
        <v>850409004354</v>
      </c>
      <c r="H74" s="18">
        <v>46071</v>
      </c>
      <c r="I74" s="18">
        <v>46070</v>
      </c>
      <c r="J74" s="18">
        <v>46070</v>
      </c>
      <c r="K74" s="18">
        <v>46071</v>
      </c>
      <c r="L74" s="15">
        <v>1</v>
      </c>
      <c r="M74" s="14" t="s">
        <v>19</v>
      </c>
      <c r="N74" s="14" t="s">
        <v>157</v>
      </c>
      <c r="O74" s="20" t="s">
        <v>542</v>
      </c>
    </row>
    <row r="75" spans="1:15" ht="15.75" x14ac:dyDescent="0.25">
      <c r="A75" s="14">
        <v>74</v>
      </c>
      <c r="B75" s="15">
        <v>63001451</v>
      </c>
      <c r="C75" s="16" t="s">
        <v>265</v>
      </c>
      <c r="D75" s="16" t="s">
        <v>178</v>
      </c>
      <c r="E75" s="14" t="s">
        <v>155</v>
      </c>
      <c r="F75" s="15">
        <v>20</v>
      </c>
      <c r="G75" s="15">
        <v>870206014356</v>
      </c>
      <c r="H75" s="18">
        <v>46071</v>
      </c>
      <c r="I75" s="18">
        <v>46070</v>
      </c>
      <c r="J75" s="18">
        <v>46070</v>
      </c>
      <c r="K75" s="18">
        <v>46071</v>
      </c>
      <c r="L75" s="15">
        <v>1</v>
      </c>
      <c r="M75" s="14" t="s">
        <v>19</v>
      </c>
      <c r="N75" s="14" t="s">
        <v>157</v>
      </c>
      <c r="O75" s="20" t="s">
        <v>542</v>
      </c>
    </row>
    <row r="76" spans="1:15" ht="15.75" x14ac:dyDescent="0.25">
      <c r="A76" s="14">
        <v>75</v>
      </c>
      <c r="B76" s="15">
        <v>63001698</v>
      </c>
      <c r="C76" s="16" t="s">
        <v>182</v>
      </c>
      <c r="D76" s="16" t="s">
        <v>183</v>
      </c>
      <c r="E76" s="14" t="s">
        <v>161</v>
      </c>
      <c r="F76" s="15">
        <v>22</v>
      </c>
      <c r="G76" s="15">
        <v>910461009738</v>
      </c>
      <c r="H76" s="18">
        <v>46071</v>
      </c>
      <c r="I76" s="18">
        <v>46069</v>
      </c>
      <c r="J76" s="18">
        <v>46069</v>
      </c>
      <c r="K76" s="18">
        <v>46070</v>
      </c>
      <c r="L76" s="15">
        <v>1</v>
      </c>
      <c r="M76" s="14" t="s">
        <v>19</v>
      </c>
      <c r="N76" s="14" t="s">
        <v>157</v>
      </c>
      <c r="O76" s="20" t="s">
        <v>542</v>
      </c>
    </row>
    <row r="77" spans="1:15" ht="15.75" x14ac:dyDescent="0.25">
      <c r="A77" s="14">
        <v>76</v>
      </c>
      <c r="B77" s="15">
        <v>63001889</v>
      </c>
      <c r="C77" s="16" t="s">
        <v>233</v>
      </c>
      <c r="D77" s="16" t="s">
        <v>234</v>
      </c>
      <c r="E77" s="14" t="s">
        <v>161</v>
      </c>
      <c r="F77" s="15">
        <v>24</v>
      </c>
      <c r="G77" s="15">
        <v>710821004261</v>
      </c>
      <c r="H77" s="18">
        <v>46071</v>
      </c>
      <c r="I77" s="18">
        <v>46069</v>
      </c>
      <c r="J77" s="18">
        <v>46070</v>
      </c>
      <c r="K77" s="18">
        <v>46071</v>
      </c>
      <c r="L77" s="15">
        <v>2</v>
      </c>
      <c r="M77" s="14" t="s">
        <v>19</v>
      </c>
      <c r="N77" s="14" t="s">
        <v>157</v>
      </c>
      <c r="O77" s="20" t="s">
        <v>542</v>
      </c>
    </row>
    <row r="78" spans="1:15" ht="15.75" x14ac:dyDescent="0.25">
      <c r="A78" s="14">
        <v>77</v>
      </c>
      <c r="B78" s="15">
        <v>63001524</v>
      </c>
      <c r="C78" s="16" t="s">
        <v>266</v>
      </c>
      <c r="D78" s="16" t="s">
        <v>267</v>
      </c>
      <c r="E78" s="14" t="s">
        <v>161</v>
      </c>
      <c r="F78" s="15">
        <v>21</v>
      </c>
      <c r="G78" s="15">
        <v>919343000147</v>
      </c>
      <c r="H78" s="18">
        <v>46071</v>
      </c>
      <c r="I78" s="18">
        <v>46068</v>
      </c>
      <c r="J78" s="18">
        <v>46071</v>
      </c>
      <c r="K78" s="18">
        <v>46072</v>
      </c>
      <c r="L78" s="15">
        <v>4</v>
      </c>
      <c r="M78" s="14" t="s">
        <v>19</v>
      </c>
      <c r="N78" s="14" t="s">
        <v>157</v>
      </c>
      <c r="O78" s="20" t="s">
        <v>542</v>
      </c>
    </row>
    <row r="79" spans="1:15" ht="15.75" x14ac:dyDescent="0.25">
      <c r="A79" s="14">
        <v>78</v>
      </c>
      <c r="B79" s="15">
        <v>63001494</v>
      </c>
      <c r="C79" s="16" t="s">
        <v>218</v>
      </c>
      <c r="D79" s="16" t="s">
        <v>219</v>
      </c>
      <c r="E79" s="14" t="s">
        <v>161</v>
      </c>
      <c r="F79" s="15">
        <v>22</v>
      </c>
      <c r="G79" s="15">
        <v>832733004844</v>
      </c>
      <c r="H79" s="18">
        <v>46071</v>
      </c>
      <c r="I79" s="18">
        <v>46069</v>
      </c>
      <c r="J79" s="18">
        <v>46071</v>
      </c>
      <c r="K79" s="18">
        <v>46072</v>
      </c>
      <c r="L79" s="15">
        <v>3</v>
      </c>
      <c r="M79" s="14" t="s">
        <v>19</v>
      </c>
      <c r="N79" s="14" t="s">
        <v>157</v>
      </c>
      <c r="O79" s="20" t="s">
        <v>542</v>
      </c>
    </row>
    <row r="80" spans="1:15" ht="15.75" x14ac:dyDescent="0.25">
      <c r="A80" s="14">
        <v>79</v>
      </c>
      <c r="B80" s="15">
        <v>63001656</v>
      </c>
      <c r="C80" s="16" t="s">
        <v>229</v>
      </c>
      <c r="D80" s="16" t="s">
        <v>230</v>
      </c>
      <c r="E80" s="14" t="s">
        <v>231</v>
      </c>
      <c r="F80" s="15">
        <v>14</v>
      </c>
      <c r="G80" s="15">
        <v>870432021060</v>
      </c>
      <c r="H80" s="18">
        <v>46072</v>
      </c>
      <c r="I80" s="18">
        <v>46071</v>
      </c>
      <c r="J80" s="18">
        <v>46071</v>
      </c>
      <c r="K80" s="18">
        <v>46072</v>
      </c>
      <c r="L80" s="15">
        <v>1</v>
      </c>
      <c r="M80" s="14" t="s">
        <v>19</v>
      </c>
      <c r="N80" s="14" t="s">
        <v>157</v>
      </c>
      <c r="O80" s="20" t="s">
        <v>542</v>
      </c>
    </row>
    <row r="81" spans="1:15" ht="15.75" x14ac:dyDescent="0.25">
      <c r="A81" s="14">
        <v>80</v>
      </c>
      <c r="B81" s="15">
        <v>63001568</v>
      </c>
      <c r="C81" s="16" t="s">
        <v>195</v>
      </c>
      <c r="D81" s="16" t="s">
        <v>196</v>
      </c>
      <c r="E81" s="14" t="s">
        <v>161</v>
      </c>
      <c r="F81" s="15">
        <v>21</v>
      </c>
      <c r="G81" s="15">
        <v>921848005043</v>
      </c>
      <c r="H81" s="18">
        <v>46071</v>
      </c>
      <c r="I81" s="18">
        <v>46069</v>
      </c>
      <c r="J81" s="18">
        <v>46069</v>
      </c>
      <c r="K81" s="18">
        <v>46070</v>
      </c>
      <c r="L81" s="15">
        <v>1</v>
      </c>
      <c r="M81" s="14" t="s">
        <v>19</v>
      </c>
      <c r="N81" s="14" t="s">
        <v>157</v>
      </c>
      <c r="O81" s="20" t="s">
        <v>542</v>
      </c>
    </row>
    <row r="82" spans="1:15" ht="15.75" x14ac:dyDescent="0.25">
      <c r="A82" s="14">
        <v>81</v>
      </c>
      <c r="B82" s="15">
        <v>63001807</v>
      </c>
      <c r="C82" s="16" t="s">
        <v>241</v>
      </c>
      <c r="D82" s="16" t="s">
        <v>176</v>
      </c>
      <c r="E82" s="14" t="s">
        <v>155</v>
      </c>
      <c r="F82" s="15">
        <v>20</v>
      </c>
      <c r="G82" s="15">
        <v>973398000633</v>
      </c>
      <c r="H82" s="18">
        <v>46075</v>
      </c>
      <c r="I82" s="18">
        <v>46073</v>
      </c>
      <c r="J82" s="18">
        <v>46100</v>
      </c>
      <c r="K82" s="18">
        <v>46101</v>
      </c>
      <c r="L82" s="15">
        <v>28</v>
      </c>
      <c r="M82" s="14" t="s">
        <v>19</v>
      </c>
      <c r="N82" s="14" t="s">
        <v>157</v>
      </c>
      <c r="O82" s="20" t="s">
        <v>542</v>
      </c>
    </row>
    <row r="83" spans="1:15" ht="15.75" x14ac:dyDescent="0.25">
      <c r="A83" s="14">
        <v>82</v>
      </c>
      <c r="B83" s="15">
        <v>63001698</v>
      </c>
      <c r="C83" s="16" t="s">
        <v>182</v>
      </c>
      <c r="D83" s="16" t="s">
        <v>183</v>
      </c>
      <c r="E83" s="14" t="s">
        <v>161</v>
      </c>
      <c r="F83" s="15">
        <v>22</v>
      </c>
      <c r="G83" s="15">
        <v>910461009738</v>
      </c>
      <c r="H83" s="18">
        <v>46076</v>
      </c>
      <c r="I83" s="18">
        <v>46072</v>
      </c>
      <c r="J83" s="18">
        <v>46075</v>
      </c>
      <c r="K83" s="18">
        <v>46076</v>
      </c>
      <c r="L83" s="15">
        <v>4</v>
      </c>
      <c r="M83" s="14" t="s">
        <v>19</v>
      </c>
      <c r="N83" s="14" t="s">
        <v>157</v>
      </c>
      <c r="O83" s="20" t="s">
        <v>542</v>
      </c>
    </row>
    <row r="84" spans="1:15" ht="15.75" x14ac:dyDescent="0.25">
      <c r="A84" s="14">
        <v>83</v>
      </c>
      <c r="B84" s="15">
        <v>63001397</v>
      </c>
      <c r="C84" s="16" t="s">
        <v>205</v>
      </c>
      <c r="D84" s="16" t="s">
        <v>206</v>
      </c>
      <c r="E84" s="14" t="s">
        <v>161</v>
      </c>
      <c r="F84" s="15">
        <v>24</v>
      </c>
      <c r="G84" s="15">
        <v>854679000635</v>
      </c>
      <c r="H84" s="18">
        <v>46077</v>
      </c>
      <c r="I84" s="18">
        <v>46076</v>
      </c>
      <c r="J84" s="18">
        <v>45725</v>
      </c>
      <c r="K84" s="18">
        <v>46091</v>
      </c>
      <c r="L84" s="15">
        <v>15</v>
      </c>
      <c r="M84" s="14" t="s">
        <v>19</v>
      </c>
      <c r="N84" s="14" t="s">
        <v>165</v>
      </c>
      <c r="O84" s="20" t="s">
        <v>542</v>
      </c>
    </row>
    <row r="85" spans="1:15" ht="15.75" x14ac:dyDescent="0.25">
      <c r="A85" s="14">
        <v>84</v>
      </c>
      <c r="B85" s="15">
        <v>63001392</v>
      </c>
      <c r="C85" s="16" t="s">
        <v>268</v>
      </c>
      <c r="D85" s="16" t="s">
        <v>269</v>
      </c>
      <c r="E85" s="14" t="s">
        <v>161</v>
      </c>
      <c r="F85" s="15">
        <v>22</v>
      </c>
      <c r="G85" s="15">
        <v>884570001442</v>
      </c>
      <c r="H85" s="18">
        <v>46077</v>
      </c>
      <c r="I85" s="18">
        <v>46075</v>
      </c>
      <c r="J85" s="18">
        <v>46088</v>
      </c>
      <c r="K85" s="18">
        <v>46089</v>
      </c>
      <c r="L85" s="15">
        <v>14</v>
      </c>
      <c r="M85" s="14" t="s">
        <v>19</v>
      </c>
      <c r="N85" s="14" t="s">
        <v>157</v>
      </c>
      <c r="O85" s="20" t="s">
        <v>542</v>
      </c>
    </row>
    <row r="86" spans="1:15" ht="15.75" x14ac:dyDescent="0.25">
      <c r="A86" s="14">
        <v>85</v>
      </c>
      <c r="B86" s="15">
        <v>63001827</v>
      </c>
      <c r="C86" s="16" t="s">
        <v>179</v>
      </c>
      <c r="D86" s="16" t="s">
        <v>178</v>
      </c>
      <c r="E86" s="14" t="s">
        <v>155</v>
      </c>
      <c r="F86" s="15">
        <v>20</v>
      </c>
      <c r="G86" s="15">
        <v>670466005048</v>
      </c>
      <c r="H86" s="18">
        <v>46077</v>
      </c>
      <c r="I86" s="18">
        <v>46073</v>
      </c>
      <c r="J86" s="18">
        <v>46073</v>
      </c>
      <c r="K86" s="18">
        <v>46074</v>
      </c>
      <c r="L86" s="15">
        <v>1</v>
      </c>
      <c r="M86" s="14" t="s">
        <v>19</v>
      </c>
      <c r="N86" s="14" t="s">
        <v>157</v>
      </c>
      <c r="O86" s="20" t="s">
        <v>542</v>
      </c>
    </row>
    <row r="87" spans="1:15" ht="15.75" x14ac:dyDescent="0.25">
      <c r="A87" s="14">
        <v>86</v>
      </c>
      <c r="B87" s="15">
        <v>63001827</v>
      </c>
      <c r="C87" s="16" t="s">
        <v>179</v>
      </c>
      <c r="D87" s="16" t="s">
        <v>178</v>
      </c>
      <c r="E87" s="14" t="s">
        <v>155</v>
      </c>
      <c r="F87" s="15">
        <v>20</v>
      </c>
      <c r="G87" s="15">
        <v>670466005048</v>
      </c>
      <c r="H87" s="18">
        <v>46077</v>
      </c>
      <c r="I87" s="18">
        <v>46074</v>
      </c>
      <c r="J87" s="18">
        <v>46074</v>
      </c>
      <c r="K87" s="18">
        <v>46075</v>
      </c>
      <c r="L87" s="15">
        <v>1</v>
      </c>
      <c r="M87" s="14" t="s">
        <v>19</v>
      </c>
      <c r="N87" s="14" t="s">
        <v>157</v>
      </c>
      <c r="O87" s="20" t="s">
        <v>542</v>
      </c>
    </row>
    <row r="88" spans="1:15" ht="15.75" x14ac:dyDescent="0.25">
      <c r="A88" s="14">
        <v>87</v>
      </c>
      <c r="B88" s="15">
        <v>63001573</v>
      </c>
      <c r="C88" s="16" t="s">
        <v>273</v>
      </c>
      <c r="D88" s="16" t="s">
        <v>178</v>
      </c>
      <c r="E88" s="14" t="s">
        <v>155</v>
      </c>
      <c r="F88" s="15">
        <v>20</v>
      </c>
      <c r="G88" s="15">
        <v>910267021649</v>
      </c>
      <c r="H88" s="18">
        <v>46079</v>
      </c>
      <c r="I88" s="18">
        <v>46077</v>
      </c>
      <c r="J88" s="18">
        <v>46077</v>
      </c>
      <c r="K88" s="18">
        <v>46078</v>
      </c>
      <c r="L88" s="15">
        <v>1</v>
      </c>
      <c r="M88" s="14" t="s">
        <v>19</v>
      </c>
      <c r="N88" s="14" t="s">
        <v>157</v>
      </c>
      <c r="O88" s="20" t="s">
        <v>542</v>
      </c>
    </row>
    <row r="89" spans="1:15" ht="15.75" x14ac:dyDescent="0.25">
      <c r="A89" s="14">
        <v>88</v>
      </c>
      <c r="B89" s="15">
        <v>63001696</v>
      </c>
      <c r="C89" s="16" t="s">
        <v>216</v>
      </c>
      <c r="D89" s="16" t="s">
        <v>217</v>
      </c>
      <c r="E89" s="14" t="s">
        <v>155</v>
      </c>
      <c r="F89" s="15">
        <v>18</v>
      </c>
      <c r="G89" s="15">
        <v>941693002143</v>
      </c>
      <c r="H89" s="18">
        <v>46083</v>
      </c>
      <c r="I89" s="18">
        <v>46079</v>
      </c>
      <c r="J89" s="18">
        <v>46079</v>
      </c>
      <c r="K89" s="18">
        <v>46080</v>
      </c>
      <c r="L89" s="15">
        <v>1</v>
      </c>
      <c r="M89" s="14" t="s">
        <v>19</v>
      </c>
      <c r="N89" s="14" t="s">
        <v>157</v>
      </c>
      <c r="O89" s="20" t="s">
        <v>542</v>
      </c>
    </row>
    <row r="90" spans="1:15" ht="15.75" x14ac:dyDescent="0.25">
      <c r="A90" s="14">
        <v>89</v>
      </c>
      <c r="B90" s="15">
        <v>63036962</v>
      </c>
      <c r="C90" s="16" t="s">
        <v>274</v>
      </c>
      <c r="D90" s="16" t="s">
        <v>275</v>
      </c>
      <c r="E90" s="14" t="s">
        <v>161</v>
      </c>
      <c r="F90" s="15"/>
      <c r="G90" s="15">
        <v>970096007630</v>
      </c>
      <c r="H90" s="18">
        <v>46083</v>
      </c>
      <c r="I90" s="18">
        <v>46079</v>
      </c>
      <c r="J90" s="18">
        <v>46079</v>
      </c>
      <c r="K90" s="18">
        <v>46080</v>
      </c>
      <c r="L90" s="15">
        <v>1</v>
      </c>
      <c r="M90" s="14" t="s">
        <v>19</v>
      </c>
      <c r="N90" s="14" t="s">
        <v>157</v>
      </c>
      <c r="O90" s="20" t="s">
        <v>542</v>
      </c>
    </row>
    <row r="91" spans="1:15" ht="15.75" x14ac:dyDescent="0.25">
      <c r="A91" s="14">
        <v>90</v>
      </c>
      <c r="B91" s="15">
        <v>63001940</v>
      </c>
      <c r="C91" s="16" t="s">
        <v>211</v>
      </c>
      <c r="D91" s="16" t="s">
        <v>185</v>
      </c>
      <c r="E91" s="14" t="s">
        <v>155</v>
      </c>
      <c r="F91" s="15">
        <v>21</v>
      </c>
      <c r="G91" s="15">
        <v>800625010760</v>
      </c>
      <c r="H91" s="18">
        <v>46083</v>
      </c>
      <c r="I91" s="18">
        <v>46081</v>
      </c>
      <c r="J91" s="18">
        <v>46110</v>
      </c>
      <c r="K91" s="18">
        <v>46111</v>
      </c>
      <c r="L91" s="15">
        <v>30</v>
      </c>
      <c r="M91" s="14" t="s">
        <v>19</v>
      </c>
      <c r="N91" s="14" t="s">
        <v>157</v>
      </c>
      <c r="O91" s="20" t="s">
        <v>542</v>
      </c>
    </row>
    <row r="92" spans="1:15" ht="15.75" x14ac:dyDescent="0.25">
      <c r="A92" s="14">
        <v>91</v>
      </c>
      <c r="B92" s="15">
        <v>63001698</v>
      </c>
      <c r="C92" s="16" t="s">
        <v>182</v>
      </c>
      <c r="D92" s="16" t="s">
        <v>183</v>
      </c>
      <c r="E92" s="14" t="s">
        <v>161</v>
      </c>
      <c r="F92" s="15">
        <v>22</v>
      </c>
      <c r="G92" s="15">
        <v>910461009738</v>
      </c>
      <c r="H92" s="18">
        <v>46083</v>
      </c>
      <c r="I92" s="18">
        <v>46079</v>
      </c>
      <c r="J92" s="18">
        <v>46079</v>
      </c>
      <c r="K92" s="18">
        <v>46080</v>
      </c>
      <c r="L92" s="15">
        <v>1</v>
      </c>
      <c r="M92" s="14" t="s">
        <v>19</v>
      </c>
      <c r="N92" s="14" t="s">
        <v>157</v>
      </c>
      <c r="O92" s="20" t="s">
        <v>542</v>
      </c>
    </row>
    <row r="93" spans="1:15" ht="15.75" x14ac:dyDescent="0.25">
      <c r="A93" s="14">
        <v>92</v>
      </c>
      <c r="B93" s="15">
        <v>63001788</v>
      </c>
      <c r="C93" s="16" t="s">
        <v>276</v>
      </c>
      <c r="D93" s="16" t="s">
        <v>277</v>
      </c>
      <c r="E93" s="14" t="s">
        <v>155</v>
      </c>
      <c r="F93" s="15">
        <v>18</v>
      </c>
      <c r="G93" s="15">
        <v>872863000445</v>
      </c>
      <c r="H93" s="18">
        <v>46083</v>
      </c>
      <c r="I93" s="18">
        <v>46077</v>
      </c>
      <c r="J93" s="18">
        <v>46078</v>
      </c>
      <c r="K93" s="18">
        <v>46079</v>
      </c>
      <c r="L93" s="15">
        <v>2</v>
      </c>
      <c r="M93" s="14" t="s">
        <v>19</v>
      </c>
      <c r="N93" s="14" t="s">
        <v>165</v>
      </c>
      <c r="O93" s="20" t="s">
        <v>542</v>
      </c>
    </row>
    <row r="94" spans="1:15" ht="15.75" x14ac:dyDescent="0.25">
      <c r="A94" s="14">
        <v>93</v>
      </c>
      <c r="B94" s="15">
        <v>63001702</v>
      </c>
      <c r="C94" s="16" t="s">
        <v>338</v>
      </c>
      <c r="D94" s="16" t="s">
        <v>339</v>
      </c>
      <c r="E94" s="14"/>
      <c r="F94" s="15">
        <v>23</v>
      </c>
      <c r="G94" s="15">
        <v>920099035930</v>
      </c>
      <c r="H94" s="18">
        <v>46082</v>
      </c>
      <c r="I94" s="18">
        <v>46077</v>
      </c>
      <c r="J94" s="18">
        <v>46106</v>
      </c>
      <c r="K94" s="18">
        <v>46107</v>
      </c>
      <c r="L94" s="15">
        <v>30</v>
      </c>
      <c r="M94" s="14" t="s">
        <v>19</v>
      </c>
      <c r="N94" s="14" t="s">
        <v>157</v>
      </c>
      <c r="O94" s="20" t="s">
        <v>542</v>
      </c>
    </row>
    <row r="95" spans="1:15" ht="15.75" x14ac:dyDescent="0.25">
      <c r="A95" s="14">
        <v>94</v>
      </c>
      <c r="B95" s="15">
        <v>63007455</v>
      </c>
      <c r="C95" s="16" t="s">
        <v>278</v>
      </c>
      <c r="D95" s="16" t="s">
        <v>183</v>
      </c>
      <c r="E95" s="14" t="s">
        <v>161</v>
      </c>
      <c r="F95" s="15">
        <v>22</v>
      </c>
      <c r="G95" s="15">
        <v>920186026636</v>
      </c>
      <c r="H95" s="18">
        <v>46082</v>
      </c>
      <c r="I95" s="18">
        <v>46078</v>
      </c>
      <c r="J95" s="18">
        <v>46079</v>
      </c>
      <c r="K95" s="18">
        <v>46080</v>
      </c>
      <c r="L95" s="15">
        <v>2</v>
      </c>
      <c r="M95" s="14" t="s">
        <v>19</v>
      </c>
      <c r="N95" s="14" t="s">
        <v>157</v>
      </c>
      <c r="O95" s="20" t="s">
        <v>542</v>
      </c>
    </row>
    <row r="96" spans="1:15" ht="15.75" x14ac:dyDescent="0.25">
      <c r="A96" s="14">
        <v>95</v>
      </c>
      <c r="B96" s="15">
        <v>63001562</v>
      </c>
      <c r="C96" s="16" t="s">
        <v>279</v>
      </c>
      <c r="D96" s="16" t="s">
        <v>176</v>
      </c>
      <c r="E96" s="14" t="s">
        <v>161</v>
      </c>
      <c r="F96" s="15">
        <v>20</v>
      </c>
      <c r="G96" s="15">
        <v>926513000750</v>
      </c>
      <c r="H96" s="18">
        <v>46083</v>
      </c>
      <c r="I96" s="18">
        <v>46083</v>
      </c>
      <c r="J96" s="18">
        <v>46083</v>
      </c>
      <c r="K96" s="18">
        <v>46084</v>
      </c>
      <c r="L96" s="15">
        <v>1</v>
      </c>
      <c r="M96" s="14" t="s">
        <v>19</v>
      </c>
      <c r="N96" s="14" t="s">
        <v>157</v>
      </c>
      <c r="O96" s="20" t="s">
        <v>542</v>
      </c>
    </row>
    <row r="97" spans="1:15" ht="15.75" x14ac:dyDescent="0.25">
      <c r="A97" s="14">
        <v>96</v>
      </c>
      <c r="B97" s="15">
        <v>63001903</v>
      </c>
      <c r="C97" s="16" t="s">
        <v>184</v>
      </c>
      <c r="D97" s="16" t="s">
        <v>185</v>
      </c>
      <c r="E97" s="14" t="s">
        <v>161</v>
      </c>
      <c r="F97" s="15">
        <v>21</v>
      </c>
      <c r="G97" s="15">
        <v>748614000152</v>
      </c>
      <c r="H97" s="18">
        <v>46084</v>
      </c>
      <c r="I97" s="18">
        <v>46082</v>
      </c>
      <c r="J97" s="18">
        <v>46082</v>
      </c>
      <c r="K97" s="18">
        <v>46083</v>
      </c>
      <c r="L97" s="15">
        <v>1</v>
      </c>
      <c r="M97" s="14" t="s">
        <v>19</v>
      </c>
      <c r="N97" s="14" t="s">
        <v>157</v>
      </c>
      <c r="O97" s="20" t="s">
        <v>542</v>
      </c>
    </row>
    <row r="98" spans="1:15" ht="15.75" x14ac:dyDescent="0.25">
      <c r="A98" s="14">
        <v>97</v>
      </c>
      <c r="B98" s="15">
        <v>63001623</v>
      </c>
      <c r="C98" s="16" t="s">
        <v>200</v>
      </c>
      <c r="D98" s="16" t="s">
        <v>201</v>
      </c>
      <c r="E98" s="14" t="s">
        <v>161</v>
      </c>
      <c r="F98" s="15">
        <v>21</v>
      </c>
      <c r="G98" s="15">
        <v>921526006446</v>
      </c>
      <c r="H98" s="18">
        <v>46084</v>
      </c>
      <c r="I98" s="18">
        <v>46083</v>
      </c>
      <c r="J98" s="18">
        <v>46084</v>
      </c>
      <c r="K98" s="18">
        <v>46085</v>
      </c>
      <c r="L98" s="15">
        <v>2</v>
      </c>
      <c r="M98" s="14" t="s">
        <v>19</v>
      </c>
      <c r="N98" s="14" t="s">
        <v>157</v>
      </c>
      <c r="O98" s="20" t="s">
        <v>158</v>
      </c>
    </row>
    <row r="99" spans="1:15" ht="15.75" x14ac:dyDescent="0.25">
      <c r="A99" s="14">
        <v>98</v>
      </c>
      <c r="B99" s="15">
        <v>63001623</v>
      </c>
      <c r="C99" s="16" t="s">
        <v>200</v>
      </c>
      <c r="D99" s="16" t="s">
        <v>201</v>
      </c>
      <c r="E99" s="14" t="s">
        <v>161</v>
      </c>
      <c r="F99" s="15">
        <v>21</v>
      </c>
      <c r="G99" s="15">
        <v>921526006446</v>
      </c>
      <c r="H99" s="18">
        <v>46086</v>
      </c>
      <c r="I99" s="18">
        <v>46085</v>
      </c>
      <c r="J99" s="18">
        <v>46099</v>
      </c>
      <c r="K99" s="18">
        <v>46100</v>
      </c>
      <c r="L99" s="15">
        <v>15</v>
      </c>
      <c r="M99" s="14" t="s">
        <v>19</v>
      </c>
      <c r="N99" s="14" t="s">
        <v>157</v>
      </c>
      <c r="O99" s="20" t="s">
        <v>158</v>
      </c>
    </row>
    <row r="100" spans="1:15" ht="15.75" x14ac:dyDescent="0.25">
      <c r="A100" s="14">
        <v>99</v>
      </c>
      <c r="B100" s="15">
        <v>63001698</v>
      </c>
      <c r="C100" s="16" t="s">
        <v>182</v>
      </c>
      <c r="D100" s="16" t="s">
        <v>183</v>
      </c>
      <c r="E100" s="14" t="s">
        <v>161</v>
      </c>
      <c r="F100" s="15">
        <v>22</v>
      </c>
      <c r="G100" s="15">
        <v>910461009738</v>
      </c>
      <c r="H100" s="18">
        <v>46084</v>
      </c>
      <c r="I100" s="18">
        <v>46083</v>
      </c>
      <c r="J100" s="18">
        <v>46083</v>
      </c>
      <c r="K100" s="18">
        <v>46084</v>
      </c>
      <c r="L100" s="15">
        <v>1</v>
      </c>
      <c r="M100" s="14" t="s">
        <v>19</v>
      </c>
      <c r="N100" s="14" t="s">
        <v>157</v>
      </c>
      <c r="O100" s="20" t="s">
        <v>542</v>
      </c>
    </row>
    <row r="101" spans="1:15" ht="15.75" x14ac:dyDescent="0.25">
      <c r="A101" s="14">
        <v>100</v>
      </c>
      <c r="B101" s="15">
        <v>63001788</v>
      </c>
      <c r="C101" s="16" t="s">
        <v>276</v>
      </c>
      <c r="D101" s="16" t="s">
        <v>277</v>
      </c>
      <c r="E101" s="14" t="s">
        <v>155</v>
      </c>
      <c r="F101" s="15">
        <v>18</v>
      </c>
      <c r="G101" s="15">
        <v>872863000445</v>
      </c>
      <c r="H101" s="18">
        <v>46084</v>
      </c>
      <c r="I101" s="18">
        <v>46083</v>
      </c>
      <c r="J101" s="18">
        <v>46083</v>
      </c>
      <c r="K101" s="18">
        <v>46084</v>
      </c>
      <c r="L101" s="15">
        <v>1</v>
      </c>
      <c r="M101" s="14" t="s">
        <v>19</v>
      </c>
      <c r="N101" s="14" t="s">
        <v>157</v>
      </c>
      <c r="O101" s="20" t="s">
        <v>542</v>
      </c>
    </row>
    <row r="102" spans="1:15" ht="15.75" x14ac:dyDescent="0.25">
      <c r="A102" s="14">
        <v>101</v>
      </c>
      <c r="B102" s="15">
        <v>63001788</v>
      </c>
      <c r="C102" s="16" t="s">
        <v>276</v>
      </c>
      <c r="D102" s="16" t="s">
        <v>277</v>
      </c>
      <c r="E102" s="14" t="s">
        <v>155</v>
      </c>
      <c r="F102" s="15">
        <v>18</v>
      </c>
      <c r="G102" s="15">
        <v>872863000445</v>
      </c>
      <c r="H102" s="18">
        <v>46084</v>
      </c>
      <c r="I102" s="18">
        <v>46084</v>
      </c>
      <c r="J102" s="18">
        <v>46084</v>
      </c>
      <c r="K102" s="18">
        <v>46085</v>
      </c>
      <c r="L102" s="15">
        <v>1</v>
      </c>
      <c r="M102" s="14" t="s">
        <v>19</v>
      </c>
      <c r="N102" s="14" t="s">
        <v>157</v>
      </c>
      <c r="O102" s="20" t="s">
        <v>542</v>
      </c>
    </row>
    <row r="103" spans="1:15" ht="15.75" x14ac:dyDescent="0.25">
      <c r="A103" s="14">
        <v>102</v>
      </c>
      <c r="B103" s="15">
        <v>63001708</v>
      </c>
      <c r="C103" s="16" t="s">
        <v>283</v>
      </c>
      <c r="D103" s="16" t="s">
        <v>262</v>
      </c>
      <c r="E103" s="14" t="s">
        <v>161</v>
      </c>
      <c r="F103" s="15">
        <v>23</v>
      </c>
      <c r="G103" s="15">
        <v>942080001748</v>
      </c>
      <c r="H103" s="18">
        <v>46084</v>
      </c>
      <c r="I103" s="18">
        <v>46085</v>
      </c>
      <c r="J103" s="18">
        <v>46086</v>
      </c>
      <c r="K103" s="18">
        <v>46087</v>
      </c>
      <c r="L103" s="15">
        <v>2</v>
      </c>
      <c r="M103" s="14" t="s">
        <v>19</v>
      </c>
      <c r="N103" s="14" t="s">
        <v>157</v>
      </c>
      <c r="O103" s="20" t="s">
        <v>542</v>
      </c>
    </row>
    <row r="104" spans="1:15" ht="15.75" x14ac:dyDescent="0.25">
      <c r="A104" s="14">
        <v>103</v>
      </c>
      <c r="B104" s="15">
        <v>63001493</v>
      </c>
      <c r="C104" s="16" t="s">
        <v>172</v>
      </c>
      <c r="D104" s="16" t="s">
        <v>173</v>
      </c>
      <c r="E104" s="14" t="s">
        <v>161</v>
      </c>
      <c r="F104" s="15">
        <v>23</v>
      </c>
      <c r="G104" s="15">
        <v>822591003344</v>
      </c>
      <c r="H104" s="18">
        <v>46084</v>
      </c>
      <c r="I104" s="18">
        <v>46083</v>
      </c>
      <c r="J104" s="18">
        <v>46086</v>
      </c>
      <c r="K104" s="18">
        <v>46087</v>
      </c>
      <c r="L104" s="15">
        <v>4</v>
      </c>
      <c r="M104" s="14" t="s">
        <v>19</v>
      </c>
      <c r="N104" s="14" t="s">
        <v>157</v>
      </c>
      <c r="O104" s="20" t="s">
        <v>542</v>
      </c>
    </row>
    <row r="105" spans="1:15" ht="15.75" x14ac:dyDescent="0.25">
      <c r="A105" s="14">
        <v>104</v>
      </c>
      <c r="B105" s="15">
        <v>63001827</v>
      </c>
      <c r="C105" s="16" t="s">
        <v>179</v>
      </c>
      <c r="D105" s="16" t="s">
        <v>178</v>
      </c>
      <c r="E105" s="14" t="s">
        <v>155</v>
      </c>
      <c r="F105" s="15">
        <v>20</v>
      </c>
      <c r="G105" s="15">
        <v>670466005048</v>
      </c>
      <c r="H105" s="18">
        <v>46084</v>
      </c>
      <c r="I105" s="18">
        <v>46081</v>
      </c>
      <c r="J105" s="18">
        <v>46082</v>
      </c>
      <c r="K105" s="18">
        <v>46083</v>
      </c>
      <c r="L105" s="15">
        <v>2</v>
      </c>
      <c r="M105" s="14" t="s">
        <v>19</v>
      </c>
      <c r="N105" s="14" t="s">
        <v>157</v>
      </c>
      <c r="O105" s="20" t="s">
        <v>542</v>
      </c>
    </row>
    <row r="106" spans="1:15" ht="15.75" x14ac:dyDescent="0.25">
      <c r="A106" s="14">
        <v>105</v>
      </c>
      <c r="B106" s="15">
        <v>63001414</v>
      </c>
      <c r="C106" s="16" t="s">
        <v>239</v>
      </c>
      <c r="D106" s="16" t="s">
        <v>176</v>
      </c>
      <c r="E106" s="14" t="s">
        <v>155</v>
      </c>
      <c r="F106" s="15">
        <v>20</v>
      </c>
      <c r="G106" s="15">
        <v>891357004638</v>
      </c>
      <c r="H106" s="18">
        <v>46090</v>
      </c>
      <c r="I106" s="18">
        <v>46089</v>
      </c>
      <c r="J106" s="18">
        <v>46118</v>
      </c>
      <c r="K106" s="18">
        <v>46119</v>
      </c>
      <c r="L106" s="15">
        <v>30</v>
      </c>
      <c r="M106" s="14" t="s">
        <v>19</v>
      </c>
      <c r="N106" s="14" t="s">
        <v>157</v>
      </c>
      <c r="O106" s="20" t="s">
        <v>542</v>
      </c>
    </row>
    <row r="107" spans="1:15" ht="15.75" x14ac:dyDescent="0.25">
      <c r="A107" s="14">
        <v>106</v>
      </c>
      <c r="B107" s="15">
        <v>63036916</v>
      </c>
      <c r="C107" s="16" t="s">
        <v>312</v>
      </c>
      <c r="D107" s="16" t="s">
        <v>178</v>
      </c>
      <c r="E107" s="14" t="s">
        <v>155</v>
      </c>
      <c r="F107" s="15"/>
      <c r="G107" s="15">
        <v>971883003435</v>
      </c>
      <c r="H107" s="18">
        <v>46090</v>
      </c>
      <c r="I107" s="18">
        <v>46083</v>
      </c>
      <c r="J107" s="18">
        <v>46083</v>
      </c>
      <c r="K107" s="18">
        <v>46084</v>
      </c>
      <c r="L107" s="15">
        <v>1</v>
      </c>
      <c r="M107" s="14" t="s">
        <v>19</v>
      </c>
      <c r="N107" s="14" t="s">
        <v>157</v>
      </c>
      <c r="O107" s="20" t="s">
        <v>542</v>
      </c>
    </row>
    <row r="108" spans="1:15" ht="15.75" x14ac:dyDescent="0.25">
      <c r="A108" s="14">
        <v>107</v>
      </c>
      <c r="B108" s="15">
        <v>63001357</v>
      </c>
      <c r="C108" s="16" t="s">
        <v>285</v>
      </c>
      <c r="D108" s="16" t="s">
        <v>286</v>
      </c>
      <c r="E108" s="14" t="s">
        <v>161</v>
      </c>
      <c r="F108" s="15">
        <v>24</v>
      </c>
      <c r="G108" s="15">
        <v>850054056047</v>
      </c>
      <c r="H108" s="18">
        <v>46090</v>
      </c>
      <c r="I108" s="18">
        <v>46089</v>
      </c>
      <c r="J108" s="18">
        <v>46103</v>
      </c>
      <c r="K108" s="18">
        <v>46104</v>
      </c>
      <c r="L108" s="15">
        <v>30</v>
      </c>
      <c r="M108" s="14" t="s">
        <v>19</v>
      </c>
      <c r="N108" s="14" t="s">
        <v>157</v>
      </c>
      <c r="O108" s="20" t="s">
        <v>542</v>
      </c>
    </row>
    <row r="109" spans="1:15" ht="15.75" x14ac:dyDescent="0.25">
      <c r="A109" s="14">
        <v>108</v>
      </c>
      <c r="B109" s="15">
        <v>63001718</v>
      </c>
      <c r="C109" s="16" t="s">
        <v>248</v>
      </c>
      <c r="D109" s="16" t="s">
        <v>249</v>
      </c>
      <c r="E109" s="14" t="s">
        <v>155</v>
      </c>
      <c r="F109" s="15"/>
      <c r="G109" s="15">
        <v>920121037452</v>
      </c>
      <c r="H109" s="18">
        <v>46090</v>
      </c>
      <c r="I109" s="18">
        <v>46088</v>
      </c>
      <c r="J109" s="18">
        <v>46102</v>
      </c>
      <c r="K109" s="18">
        <v>46103</v>
      </c>
      <c r="L109" s="15">
        <v>15</v>
      </c>
      <c r="M109" s="14" t="s">
        <v>19</v>
      </c>
      <c r="N109" s="14" t="s">
        <v>165</v>
      </c>
      <c r="O109" s="20" t="s">
        <v>542</v>
      </c>
    </row>
    <row r="110" spans="1:15" ht="15.75" x14ac:dyDescent="0.25">
      <c r="A110" s="14">
        <v>109</v>
      </c>
      <c r="B110" s="15">
        <v>63001827</v>
      </c>
      <c r="C110" s="16" t="s">
        <v>179</v>
      </c>
      <c r="D110" s="16" t="s">
        <v>178</v>
      </c>
      <c r="E110" s="14" t="s">
        <v>155</v>
      </c>
      <c r="F110" s="15">
        <v>20</v>
      </c>
      <c r="G110" s="15">
        <v>670466005048</v>
      </c>
      <c r="H110" s="18">
        <v>46090</v>
      </c>
      <c r="I110" s="18">
        <v>46089</v>
      </c>
      <c r="J110" s="18">
        <v>46090</v>
      </c>
      <c r="K110" s="18">
        <v>46091</v>
      </c>
      <c r="L110" s="15">
        <v>2</v>
      </c>
      <c r="M110" s="14" t="s">
        <v>19</v>
      </c>
      <c r="N110" s="14" t="s">
        <v>157</v>
      </c>
      <c r="O110" s="20" t="s">
        <v>542</v>
      </c>
    </row>
    <row r="111" spans="1:15" ht="15.75" x14ac:dyDescent="0.25">
      <c r="A111" s="14">
        <v>110</v>
      </c>
      <c r="B111" s="15">
        <v>63001698</v>
      </c>
      <c r="C111" s="16" t="s">
        <v>182</v>
      </c>
      <c r="D111" s="16" t="s">
        <v>183</v>
      </c>
      <c r="E111" s="14" t="s">
        <v>161</v>
      </c>
      <c r="F111" s="15">
        <v>22</v>
      </c>
      <c r="G111" s="15">
        <v>910461009738</v>
      </c>
      <c r="H111" s="18">
        <v>46091</v>
      </c>
      <c r="I111" s="18">
        <v>46090</v>
      </c>
      <c r="J111" s="18">
        <v>46090</v>
      </c>
      <c r="K111" s="18">
        <v>46091</v>
      </c>
      <c r="L111" s="15">
        <v>1</v>
      </c>
      <c r="M111" s="14" t="s">
        <v>19</v>
      </c>
      <c r="N111" s="14" t="s">
        <v>157</v>
      </c>
      <c r="O111" s="20" t="s">
        <v>542</v>
      </c>
    </row>
    <row r="112" spans="1:15" ht="15.75" x14ac:dyDescent="0.25">
      <c r="A112" s="14">
        <v>111</v>
      </c>
      <c r="B112" s="15">
        <v>63001550</v>
      </c>
      <c r="C112" s="16" t="s">
        <v>287</v>
      </c>
      <c r="D112" s="16" t="s">
        <v>178</v>
      </c>
      <c r="E112" s="14" t="s">
        <v>155</v>
      </c>
      <c r="F112" s="15">
        <v>20</v>
      </c>
      <c r="G112" s="15">
        <v>920138025844</v>
      </c>
      <c r="H112" s="18">
        <v>46091</v>
      </c>
      <c r="I112" s="18">
        <v>46089</v>
      </c>
      <c r="J112" s="18">
        <v>46090</v>
      </c>
      <c r="K112" s="18">
        <v>46091</v>
      </c>
      <c r="L112" s="15">
        <v>2</v>
      </c>
      <c r="M112" s="14" t="s">
        <v>19</v>
      </c>
      <c r="N112" s="14" t="s">
        <v>157</v>
      </c>
      <c r="O112" s="20" t="s">
        <v>542</v>
      </c>
    </row>
    <row r="113" spans="1:15" ht="15.75" x14ac:dyDescent="0.25">
      <c r="A113" s="14">
        <v>112</v>
      </c>
      <c r="B113" s="15">
        <v>63043576</v>
      </c>
      <c r="C113" s="16" t="s">
        <v>288</v>
      </c>
      <c r="D113" s="16" t="s">
        <v>164</v>
      </c>
      <c r="E113" s="14" t="s">
        <v>161</v>
      </c>
      <c r="F113" s="15">
        <v>21</v>
      </c>
      <c r="G113" s="15">
        <v>21623001872</v>
      </c>
      <c r="H113" s="18">
        <v>46092</v>
      </c>
      <c r="I113" s="18">
        <v>46089</v>
      </c>
      <c r="J113" s="18">
        <v>46091</v>
      </c>
      <c r="K113" s="18">
        <v>46092</v>
      </c>
      <c r="L113" s="15">
        <v>3</v>
      </c>
      <c r="M113" s="14" t="s">
        <v>19</v>
      </c>
      <c r="N113" s="14" t="s">
        <v>157</v>
      </c>
      <c r="O113" s="20" t="s">
        <v>542</v>
      </c>
    </row>
    <row r="114" spans="1:15" ht="15.75" x14ac:dyDescent="0.25">
      <c r="A114" s="14">
        <v>113</v>
      </c>
      <c r="B114" s="15">
        <v>63036942</v>
      </c>
      <c r="C114" s="16" t="s">
        <v>289</v>
      </c>
      <c r="D114" s="16" t="s">
        <v>290</v>
      </c>
      <c r="E114" s="14" t="s">
        <v>155</v>
      </c>
      <c r="F114" s="15">
        <v>17</v>
      </c>
      <c r="G114" s="15">
        <v>23883001953</v>
      </c>
      <c r="H114" s="18">
        <v>46092</v>
      </c>
      <c r="I114" s="18">
        <v>46090</v>
      </c>
      <c r="J114" s="18">
        <v>46092</v>
      </c>
      <c r="K114" s="18">
        <v>46093</v>
      </c>
      <c r="L114" s="15">
        <v>1</v>
      </c>
      <c r="M114" s="14" t="s">
        <v>19</v>
      </c>
      <c r="N114" s="14" t="s">
        <v>157</v>
      </c>
      <c r="O114" s="20" t="s">
        <v>542</v>
      </c>
    </row>
    <row r="115" spans="1:15" ht="15.75" x14ac:dyDescent="0.25">
      <c r="A115" s="14">
        <v>114</v>
      </c>
      <c r="B115" s="15">
        <v>63001776</v>
      </c>
      <c r="C115" s="16" t="s">
        <v>291</v>
      </c>
      <c r="D115" s="16" t="s">
        <v>221</v>
      </c>
      <c r="E115" s="14" t="s">
        <v>155</v>
      </c>
      <c r="F115" s="15"/>
      <c r="G115" s="15">
        <v>969448000235</v>
      </c>
      <c r="H115" s="18">
        <v>46092</v>
      </c>
      <c r="I115" s="18">
        <v>46083</v>
      </c>
      <c r="J115" s="18">
        <v>46083</v>
      </c>
      <c r="K115" s="18">
        <v>46084</v>
      </c>
      <c r="L115" s="15">
        <v>1</v>
      </c>
      <c r="M115" s="14" t="s">
        <v>19</v>
      </c>
      <c r="N115" s="14" t="s">
        <v>157</v>
      </c>
      <c r="O115" s="20" t="s">
        <v>542</v>
      </c>
    </row>
    <row r="116" spans="1:15" ht="15.75" x14ac:dyDescent="0.25">
      <c r="A116" s="14">
        <v>115</v>
      </c>
      <c r="B116" s="15">
        <v>63001337</v>
      </c>
      <c r="C116" s="16" t="s">
        <v>188</v>
      </c>
      <c r="D116" s="16" t="s">
        <v>189</v>
      </c>
      <c r="E116" s="14" t="s">
        <v>161</v>
      </c>
      <c r="F116" s="15">
        <v>22</v>
      </c>
      <c r="G116" s="15">
        <v>890042008543</v>
      </c>
      <c r="H116" s="18">
        <v>46093</v>
      </c>
      <c r="I116" s="18">
        <v>46092</v>
      </c>
      <c r="J116" s="18">
        <v>46109</v>
      </c>
      <c r="K116" s="18">
        <v>46110</v>
      </c>
      <c r="L116" s="15">
        <v>18</v>
      </c>
      <c r="M116" s="14" t="s">
        <v>19</v>
      </c>
      <c r="N116" s="14" t="s">
        <v>165</v>
      </c>
      <c r="O116" s="20" t="s">
        <v>542</v>
      </c>
    </row>
    <row r="117" spans="1:15" ht="15.75" x14ac:dyDescent="0.25">
      <c r="A117" s="14">
        <v>116</v>
      </c>
      <c r="B117" s="15">
        <v>63001484</v>
      </c>
      <c r="C117" s="16" t="s">
        <v>292</v>
      </c>
      <c r="D117" s="16" t="s">
        <v>293</v>
      </c>
      <c r="E117" s="14" t="s">
        <v>161</v>
      </c>
      <c r="F117" s="15"/>
      <c r="G117" s="15">
        <v>874732000548</v>
      </c>
      <c r="H117" s="18">
        <v>46093</v>
      </c>
      <c r="I117" s="18">
        <v>46090</v>
      </c>
      <c r="J117" s="18">
        <v>46093</v>
      </c>
      <c r="K117" s="18">
        <v>46094</v>
      </c>
      <c r="L117" s="15">
        <v>4</v>
      </c>
      <c r="M117" s="14" t="s">
        <v>19</v>
      </c>
      <c r="N117" s="14" t="s">
        <v>157</v>
      </c>
      <c r="O117" s="20" t="s">
        <v>542</v>
      </c>
    </row>
    <row r="118" spans="1:15" ht="15.75" x14ac:dyDescent="0.25">
      <c r="A118" s="14">
        <v>117</v>
      </c>
      <c r="B118" s="15">
        <v>63001796</v>
      </c>
      <c r="C118" s="16" t="s">
        <v>220</v>
      </c>
      <c r="D118" s="16" t="s">
        <v>221</v>
      </c>
      <c r="E118" s="14" t="s">
        <v>155</v>
      </c>
      <c r="F118" s="15">
        <v>17</v>
      </c>
      <c r="G118" s="15">
        <v>896819000340</v>
      </c>
      <c r="H118" s="18">
        <v>46098</v>
      </c>
      <c r="I118" s="18">
        <v>46096</v>
      </c>
      <c r="J118" s="18">
        <v>46099</v>
      </c>
      <c r="K118" s="18">
        <v>46100</v>
      </c>
      <c r="L118" s="15">
        <v>4</v>
      </c>
      <c r="M118" s="14" t="s">
        <v>19</v>
      </c>
      <c r="N118" s="14" t="s">
        <v>157</v>
      </c>
      <c r="O118" s="20" t="s">
        <v>542</v>
      </c>
    </row>
    <row r="119" spans="1:15" ht="15.75" x14ac:dyDescent="0.25">
      <c r="A119" s="14">
        <v>118</v>
      </c>
      <c r="B119" s="15">
        <v>63001760</v>
      </c>
      <c r="C119" s="16" t="s">
        <v>214</v>
      </c>
      <c r="D119" s="16" t="s">
        <v>215</v>
      </c>
      <c r="E119" s="14" t="s">
        <v>161</v>
      </c>
      <c r="F119" s="15">
        <v>21</v>
      </c>
      <c r="G119" s="15">
        <v>690546005049</v>
      </c>
      <c r="H119" s="18">
        <v>46098</v>
      </c>
      <c r="I119" s="18">
        <v>46094</v>
      </c>
      <c r="J119" s="18">
        <v>46096</v>
      </c>
      <c r="K119" s="18">
        <v>46097</v>
      </c>
      <c r="L119" s="15">
        <v>3</v>
      </c>
      <c r="M119" s="14" t="s">
        <v>19</v>
      </c>
      <c r="N119" s="14" t="s">
        <v>157</v>
      </c>
      <c r="O119" s="20" t="s">
        <v>542</v>
      </c>
    </row>
    <row r="120" spans="1:15" ht="15.75" x14ac:dyDescent="0.25">
      <c r="A120" s="14">
        <v>119</v>
      </c>
      <c r="B120" s="15">
        <v>63001698</v>
      </c>
      <c r="C120" s="16" t="s">
        <v>182</v>
      </c>
      <c r="D120" s="16" t="s">
        <v>183</v>
      </c>
      <c r="E120" s="14" t="s">
        <v>161</v>
      </c>
      <c r="F120" s="15">
        <v>22</v>
      </c>
      <c r="G120" s="15">
        <v>910461009738</v>
      </c>
      <c r="H120" s="18">
        <v>46098</v>
      </c>
      <c r="I120" s="18">
        <v>46096</v>
      </c>
      <c r="J120" s="18">
        <v>46096</v>
      </c>
      <c r="K120" s="18">
        <v>46097</v>
      </c>
      <c r="L120" s="15">
        <v>1</v>
      </c>
      <c r="M120" s="14" t="s">
        <v>19</v>
      </c>
      <c r="N120" s="14" t="s">
        <v>165</v>
      </c>
      <c r="O120" s="20" t="s">
        <v>542</v>
      </c>
    </row>
    <row r="121" spans="1:15" ht="15.75" x14ac:dyDescent="0.25">
      <c r="A121" s="14">
        <v>120</v>
      </c>
      <c r="B121" s="15">
        <v>63001712</v>
      </c>
      <c r="C121" s="16" t="s">
        <v>294</v>
      </c>
      <c r="D121" s="16" t="s">
        <v>217</v>
      </c>
      <c r="E121" s="14" t="s">
        <v>155</v>
      </c>
      <c r="F121" s="15"/>
      <c r="G121" s="15">
        <v>938135000149</v>
      </c>
      <c r="H121" s="18">
        <v>46098</v>
      </c>
      <c r="I121" s="18">
        <v>46093</v>
      </c>
      <c r="J121" s="18">
        <v>46093</v>
      </c>
      <c r="K121" s="18">
        <v>46094</v>
      </c>
      <c r="L121" s="15">
        <v>1</v>
      </c>
      <c r="M121" s="14" t="s">
        <v>19</v>
      </c>
      <c r="N121" s="14" t="s">
        <v>157</v>
      </c>
      <c r="O121" s="20" t="s">
        <v>542</v>
      </c>
    </row>
    <row r="122" spans="1:15" ht="15.75" x14ac:dyDescent="0.25">
      <c r="A122" s="14">
        <v>121</v>
      </c>
      <c r="B122" s="15">
        <v>63001455</v>
      </c>
      <c r="C122" s="16" t="s">
        <v>295</v>
      </c>
      <c r="D122" s="16" t="s">
        <v>296</v>
      </c>
      <c r="E122" s="14" t="s">
        <v>161</v>
      </c>
      <c r="F122" s="15"/>
      <c r="G122" s="15">
        <v>900974007535</v>
      </c>
      <c r="H122" s="18">
        <v>46098</v>
      </c>
      <c r="I122" s="18">
        <v>46093</v>
      </c>
      <c r="J122" s="18">
        <v>46093</v>
      </c>
      <c r="K122" s="18">
        <v>46094</v>
      </c>
      <c r="L122" s="15">
        <v>1</v>
      </c>
      <c r="M122" s="14" t="s">
        <v>19</v>
      </c>
      <c r="N122" s="14" t="s">
        <v>157</v>
      </c>
      <c r="O122" s="20" t="s">
        <v>542</v>
      </c>
    </row>
    <row r="123" spans="1:15" ht="15.75" x14ac:dyDescent="0.25">
      <c r="A123" s="14">
        <v>122</v>
      </c>
      <c r="B123" s="15">
        <v>63001806</v>
      </c>
      <c r="C123" s="16" t="s">
        <v>297</v>
      </c>
      <c r="D123" s="16" t="s">
        <v>298</v>
      </c>
      <c r="E123" s="14" t="s">
        <v>155</v>
      </c>
      <c r="F123" s="15"/>
      <c r="G123" s="15">
        <v>940287009232</v>
      </c>
      <c r="H123" s="18">
        <v>46098</v>
      </c>
      <c r="I123" s="18">
        <v>46089</v>
      </c>
      <c r="J123" s="18">
        <v>46090</v>
      </c>
      <c r="K123" s="18">
        <v>46091</v>
      </c>
      <c r="L123" s="15">
        <v>2</v>
      </c>
      <c r="M123" s="14" t="s">
        <v>19</v>
      </c>
      <c r="N123" s="14" t="s">
        <v>157</v>
      </c>
      <c r="O123" s="20" t="s">
        <v>542</v>
      </c>
    </row>
    <row r="124" spans="1:15" ht="15.75" x14ac:dyDescent="0.25">
      <c r="A124" s="14">
        <v>123</v>
      </c>
      <c r="B124" s="15">
        <v>63001880</v>
      </c>
      <c r="C124" s="16" t="s">
        <v>299</v>
      </c>
      <c r="D124" s="16" t="s">
        <v>189</v>
      </c>
      <c r="E124" s="14" t="s">
        <v>155</v>
      </c>
      <c r="F124" s="15"/>
      <c r="G124" s="15">
        <v>690350011656</v>
      </c>
      <c r="H124" s="18">
        <v>46098</v>
      </c>
      <c r="I124" s="18">
        <v>46086</v>
      </c>
      <c r="J124" s="18">
        <v>46088</v>
      </c>
      <c r="K124" s="18">
        <v>46089</v>
      </c>
      <c r="L124" s="15">
        <v>3</v>
      </c>
      <c r="M124" s="14" t="s">
        <v>19</v>
      </c>
      <c r="N124" s="14" t="s">
        <v>157</v>
      </c>
      <c r="O124" s="20" t="s">
        <v>542</v>
      </c>
    </row>
    <row r="125" spans="1:15" ht="15.75" x14ac:dyDescent="0.25">
      <c r="A125" s="14">
        <v>124</v>
      </c>
      <c r="B125" s="15">
        <v>63036911</v>
      </c>
      <c r="C125" s="16" t="s">
        <v>300</v>
      </c>
      <c r="D125" s="16" t="s">
        <v>301</v>
      </c>
      <c r="E125" s="14" t="s">
        <v>161</v>
      </c>
      <c r="F125" s="15"/>
      <c r="G125" s="15">
        <v>970313004256</v>
      </c>
      <c r="H125" s="18">
        <v>46098</v>
      </c>
      <c r="I125" s="18">
        <v>46096</v>
      </c>
      <c r="J125" s="18">
        <v>46099</v>
      </c>
      <c r="K125" s="18">
        <v>46100</v>
      </c>
      <c r="L125" s="15">
        <v>4</v>
      </c>
      <c r="M125" s="14" t="s">
        <v>19</v>
      </c>
      <c r="N125" s="14" t="s">
        <v>157</v>
      </c>
      <c r="O125" s="20" t="s">
        <v>542</v>
      </c>
    </row>
    <row r="126" spans="1:15" ht="15.75" x14ac:dyDescent="0.25">
      <c r="A126" s="14">
        <v>125</v>
      </c>
      <c r="B126" s="15">
        <v>63001827</v>
      </c>
      <c r="C126" s="16" t="s">
        <v>179</v>
      </c>
      <c r="D126" s="16" t="s">
        <v>178</v>
      </c>
      <c r="E126" s="14" t="s">
        <v>155</v>
      </c>
      <c r="F126" s="15">
        <v>20</v>
      </c>
      <c r="G126" s="15">
        <v>670466005048</v>
      </c>
      <c r="H126" s="18">
        <v>45740</v>
      </c>
      <c r="I126" s="18">
        <v>46097</v>
      </c>
      <c r="J126" s="18">
        <v>46098</v>
      </c>
      <c r="K126" s="18">
        <v>46099</v>
      </c>
      <c r="L126" s="15">
        <v>2</v>
      </c>
      <c r="M126" s="14" t="s">
        <v>19</v>
      </c>
      <c r="N126" s="14" t="s">
        <v>157</v>
      </c>
      <c r="O126" s="20" t="s">
        <v>542</v>
      </c>
    </row>
    <row r="127" spans="1:15" ht="15.75" x14ac:dyDescent="0.25">
      <c r="A127" s="14">
        <v>126</v>
      </c>
      <c r="B127" s="15">
        <v>63001827</v>
      </c>
      <c r="C127" s="16" t="s">
        <v>179</v>
      </c>
      <c r="D127" s="16" t="s">
        <v>178</v>
      </c>
      <c r="E127" s="14" t="s">
        <v>155</v>
      </c>
      <c r="F127" s="15">
        <v>20</v>
      </c>
      <c r="G127" s="15">
        <v>670466005048</v>
      </c>
      <c r="H127" s="18">
        <v>45740</v>
      </c>
      <c r="I127" s="18">
        <v>46099</v>
      </c>
      <c r="J127" s="18">
        <v>46099</v>
      </c>
      <c r="K127" s="18">
        <v>46100</v>
      </c>
      <c r="L127" s="15">
        <v>1</v>
      </c>
      <c r="M127" s="14" t="s">
        <v>19</v>
      </c>
      <c r="N127" s="14" t="s">
        <v>157</v>
      </c>
      <c r="O127" s="20" t="s">
        <v>542</v>
      </c>
    </row>
    <row r="128" spans="1:15" ht="15.75" x14ac:dyDescent="0.25">
      <c r="A128" s="14">
        <v>127</v>
      </c>
      <c r="B128" s="15">
        <v>63001696</v>
      </c>
      <c r="C128" s="16" t="s">
        <v>216</v>
      </c>
      <c r="D128" s="16" t="s">
        <v>217</v>
      </c>
      <c r="E128" s="14" t="s">
        <v>155</v>
      </c>
      <c r="F128" s="15">
        <v>18</v>
      </c>
      <c r="G128" s="15">
        <v>941693002143</v>
      </c>
      <c r="H128" s="18">
        <v>46106</v>
      </c>
      <c r="I128" s="18">
        <v>46096</v>
      </c>
      <c r="J128" s="18">
        <v>46096</v>
      </c>
      <c r="K128" s="18">
        <v>46097</v>
      </c>
      <c r="L128" s="15">
        <v>1</v>
      </c>
      <c r="M128" s="14" t="s">
        <v>19</v>
      </c>
      <c r="N128" s="14" t="s">
        <v>157</v>
      </c>
      <c r="O128" s="20" t="s">
        <v>542</v>
      </c>
    </row>
    <row r="129" spans="1:15" ht="15.75" x14ac:dyDescent="0.25">
      <c r="A129" s="14">
        <v>128</v>
      </c>
      <c r="B129" s="15">
        <v>63001702</v>
      </c>
      <c r="C129" s="16" t="s">
        <v>338</v>
      </c>
      <c r="D129" s="16" t="s">
        <v>339</v>
      </c>
      <c r="E129" s="14"/>
      <c r="F129" s="15">
        <v>23</v>
      </c>
      <c r="G129" s="15">
        <v>920099035930</v>
      </c>
      <c r="H129" s="18">
        <v>46105</v>
      </c>
      <c r="I129" s="18">
        <v>46107</v>
      </c>
      <c r="J129" s="18">
        <v>46136</v>
      </c>
      <c r="K129" s="18">
        <v>46137</v>
      </c>
      <c r="L129" s="15">
        <v>30</v>
      </c>
      <c r="M129" s="14" t="s">
        <v>19</v>
      </c>
      <c r="N129" s="14" t="s">
        <v>157</v>
      </c>
      <c r="O129" s="20" t="s">
        <v>542</v>
      </c>
    </row>
    <row r="130" spans="1:15" ht="15.75" x14ac:dyDescent="0.25">
      <c r="A130" s="14">
        <v>129</v>
      </c>
      <c r="B130" s="15">
        <v>63001357</v>
      </c>
      <c r="C130" s="16" t="s">
        <v>285</v>
      </c>
      <c r="D130" s="16" t="s">
        <v>286</v>
      </c>
      <c r="E130" s="14" t="s">
        <v>161</v>
      </c>
      <c r="F130" s="15">
        <v>24</v>
      </c>
      <c r="G130" s="15">
        <v>850054056047</v>
      </c>
      <c r="H130" s="18">
        <v>46106</v>
      </c>
      <c r="I130" s="18">
        <v>46104</v>
      </c>
      <c r="J130" s="18">
        <v>46118</v>
      </c>
      <c r="K130" s="18">
        <v>46119</v>
      </c>
      <c r="L130" s="15">
        <v>15</v>
      </c>
      <c r="M130" s="14" t="s">
        <v>19</v>
      </c>
      <c r="N130" s="14" t="s">
        <v>157</v>
      </c>
      <c r="O130" s="20" t="s">
        <v>542</v>
      </c>
    </row>
    <row r="131" spans="1:15" ht="15.75" x14ac:dyDescent="0.25">
      <c r="A131" s="14">
        <v>130</v>
      </c>
      <c r="B131" s="15">
        <v>63001553</v>
      </c>
      <c r="C131" s="16" t="s">
        <v>302</v>
      </c>
      <c r="D131" s="16" t="s">
        <v>178</v>
      </c>
      <c r="E131" s="14" t="s">
        <v>155</v>
      </c>
      <c r="F131" s="15"/>
      <c r="G131" s="15">
        <v>890809006738</v>
      </c>
      <c r="H131" s="18">
        <v>46106</v>
      </c>
      <c r="I131" s="18">
        <v>46101</v>
      </c>
      <c r="J131" s="18">
        <v>46101</v>
      </c>
      <c r="K131" s="18">
        <v>46102</v>
      </c>
      <c r="L131" s="15">
        <v>1</v>
      </c>
      <c r="M131" s="14" t="s">
        <v>19</v>
      </c>
      <c r="N131" s="14" t="s">
        <v>157</v>
      </c>
      <c r="O131" s="20" t="s">
        <v>542</v>
      </c>
    </row>
    <row r="132" spans="1:15" ht="15.75" x14ac:dyDescent="0.25">
      <c r="A132" s="14">
        <v>131</v>
      </c>
      <c r="B132" s="15">
        <v>63001973</v>
      </c>
      <c r="C132" s="16" t="s">
        <v>304</v>
      </c>
      <c r="D132" s="16" t="s">
        <v>247</v>
      </c>
      <c r="E132" s="14" t="s">
        <v>155</v>
      </c>
      <c r="F132" s="15"/>
      <c r="G132" s="15">
        <v>862807002945</v>
      </c>
      <c r="H132" s="18">
        <v>46106</v>
      </c>
      <c r="I132" s="18">
        <v>46096</v>
      </c>
      <c r="J132" s="18">
        <v>46100</v>
      </c>
      <c r="K132" s="18">
        <v>46101</v>
      </c>
      <c r="L132" s="15">
        <v>5</v>
      </c>
      <c r="M132" s="14" t="s">
        <v>19</v>
      </c>
      <c r="N132" s="14" t="s">
        <v>157</v>
      </c>
      <c r="O132" s="20" t="s">
        <v>542</v>
      </c>
    </row>
    <row r="133" spans="1:15" ht="15.75" x14ac:dyDescent="0.25">
      <c r="A133" s="14">
        <v>132</v>
      </c>
      <c r="B133" s="15">
        <v>63001688</v>
      </c>
      <c r="C133" s="16" t="s">
        <v>305</v>
      </c>
      <c r="D133" s="16" t="s">
        <v>306</v>
      </c>
      <c r="E133" s="14" t="s">
        <v>155</v>
      </c>
      <c r="F133" s="15"/>
      <c r="G133" s="15">
        <v>853341000654</v>
      </c>
      <c r="H133" s="18">
        <v>46106</v>
      </c>
      <c r="I133" s="18">
        <v>46101</v>
      </c>
      <c r="J133" s="18">
        <v>46101</v>
      </c>
      <c r="K133" s="18">
        <v>46102</v>
      </c>
      <c r="L133" s="15">
        <v>1</v>
      </c>
      <c r="M133" s="14" t="s">
        <v>19</v>
      </c>
      <c r="N133" s="14" t="s">
        <v>157</v>
      </c>
      <c r="O133" s="20" t="s">
        <v>542</v>
      </c>
    </row>
    <row r="134" spans="1:15" ht="15.75" x14ac:dyDescent="0.25">
      <c r="A134" s="14">
        <v>133</v>
      </c>
      <c r="B134" s="15">
        <v>63001476</v>
      </c>
      <c r="C134" s="16" t="s">
        <v>307</v>
      </c>
      <c r="D134" s="16" t="s">
        <v>178</v>
      </c>
      <c r="E134" s="14" t="s">
        <v>155</v>
      </c>
      <c r="F134" s="15"/>
      <c r="G134" s="15">
        <v>870274003743</v>
      </c>
      <c r="H134" s="18">
        <v>46106</v>
      </c>
      <c r="I134" s="18">
        <v>46101</v>
      </c>
      <c r="J134" s="18">
        <v>46101</v>
      </c>
      <c r="K134" s="18">
        <v>46102</v>
      </c>
      <c r="L134" s="15">
        <v>1</v>
      </c>
      <c r="M134" s="14" t="s">
        <v>19</v>
      </c>
      <c r="N134" s="14" t="s">
        <v>157</v>
      </c>
      <c r="O134" s="20" t="s">
        <v>542</v>
      </c>
    </row>
    <row r="135" spans="1:15" ht="15.75" x14ac:dyDescent="0.25">
      <c r="A135" s="14">
        <v>134</v>
      </c>
      <c r="B135" s="15">
        <v>63001448</v>
      </c>
      <c r="C135" s="16" t="s">
        <v>308</v>
      </c>
      <c r="D135" s="16" t="s">
        <v>178</v>
      </c>
      <c r="E135" s="14" t="s">
        <v>155</v>
      </c>
      <c r="F135" s="15"/>
      <c r="G135" s="15">
        <v>891448002642</v>
      </c>
      <c r="H135" s="18">
        <v>46106</v>
      </c>
      <c r="I135" s="18">
        <v>46096</v>
      </c>
      <c r="J135" s="18">
        <v>46096</v>
      </c>
      <c r="K135" s="18">
        <v>46097</v>
      </c>
      <c r="L135" s="15">
        <v>1</v>
      </c>
      <c r="M135" s="14" t="s">
        <v>19</v>
      </c>
      <c r="N135" s="14" t="s">
        <v>157</v>
      </c>
      <c r="O135" s="20" t="s">
        <v>542</v>
      </c>
    </row>
    <row r="136" spans="1:15" ht="15.75" x14ac:dyDescent="0.25">
      <c r="A136" s="14">
        <v>135</v>
      </c>
      <c r="B136" s="15">
        <v>63001588</v>
      </c>
      <c r="C136" s="16" t="s">
        <v>261</v>
      </c>
      <c r="D136" s="16" t="s">
        <v>262</v>
      </c>
      <c r="E136" s="14" t="s">
        <v>161</v>
      </c>
      <c r="F136" s="15"/>
      <c r="G136" s="15">
        <v>900500003466</v>
      </c>
      <c r="H136" s="18">
        <v>46106</v>
      </c>
      <c r="I136" s="18">
        <v>46104</v>
      </c>
      <c r="J136" s="18">
        <v>46106</v>
      </c>
      <c r="K136" s="18">
        <v>46107</v>
      </c>
      <c r="L136" s="15">
        <v>3</v>
      </c>
      <c r="M136" s="14" t="s">
        <v>19</v>
      </c>
      <c r="N136" s="14" t="s">
        <v>157</v>
      </c>
      <c r="O136" s="20" t="s">
        <v>542</v>
      </c>
    </row>
    <row r="137" spans="1:15" ht="15.75" x14ac:dyDescent="0.25">
      <c r="A137" s="14">
        <v>136</v>
      </c>
      <c r="B137" s="15">
        <v>63043576</v>
      </c>
      <c r="C137" s="16" t="s">
        <v>288</v>
      </c>
      <c r="D137" s="16" t="s">
        <v>164</v>
      </c>
      <c r="E137" s="14" t="s">
        <v>161</v>
      </c>
      <c r="F137" s="15">
        <v>21</v>
      </c>
      <c r="G137" s="15">
        <v>21623001872</v>
      </c>
      <c r="H137" s="18">
        <v>46106</v>
      </c>
      <c r="I137" s="18">
        <v>46100</v>
      </c>
      <c r="J137" s="18">
        <v>46100</v>
      </c>
      <c r="K137" s="18">
        <v>46101</v>
      </c>
      <c r="L137" s="15">
        <v>1</v>
      </c>
      <c r="M137" s="14" t="s">
        <v>19</v>
      </c>
      <c r="N137" s="14" t="s">
        <v>157</v>
      </c>
      <c r="O137" s="20" t="s">
        <v>542</v>
      </c>
    </row>
    <row r="138" spans="1:15" ht="15.75" x14ac:dyDescent="0.25">
      <c r="A138" s="14">
        <v>137</v>
      </c>
      <c r="B138" s="15">
        <v>63001362</v>
      </c>
      <c r="C138" s="16" t="s">
        <v>235</v>
      </c>
      <c r="D138" s="16" t="s">
        <v>236</v>
      </c>
      <c r="E138" s="14" t="s">
        <v>161</v>
      </c>
      <c r="F138" s="15">
        <v>24</v>
      </c>
      <c r="G138" s="15">
        <v>850788004534</v>
      </c>
      <c r="H138" s="18">
        <v>46106</v>
      </c>
      <c r="I138" s="18">
        <v>46099</v>
      </c>
      <c r="J138" s="18">
        <v>46100</v>
      </c>
      <c r="K138" s="18">
        <v>46101</v>
      </c>
      <c r="L138" s="15">
        <v>2</v>
      </c>
      <c r="M138" s="14" t="s">
        <v>19</v>
      </c>
      <c r="N138" s="14" t="s">
        <v>157</v>
      </c>
      <c r="O138" s="20" t="s">
        <v>542</v>
      </c>
    </row>
    <row r="139" spans="1:15" ht="15.75" x14ac:dyDescent="0.25">
      <c r="A139" s="14">
        <v>138</v>
      </c>
      <c r="B139" s="15">
        <v>63001449</v>
      </c>
      <c r="C139" s="16" t="s">
        <v>309</v>
      </c>
      <c r="D139" s="16" t="s">
        <v>310</v>
      </c>
      <c r="E139" s="14" t="s">
        <v>161</v>
      </c>
      <c r="F139" s="15"/>
      <c r="G139" s="15">
        <v>881695001339</v>
      </c>
      <c r="H139" s="18">
        <v>46106</v>
      </c>
      <c r="I139" s="18">
        <v>46101</v>
      </c>
      <c r="J139" s="18">
        <v>46101</v>
      </c>
      <c r="K139" s="18">
        <v>46102</v>
      </c>
      <c r="L139" s="15">
        <v>1</v>
      </c>
      <c r="M139" s="14" t="s">
        <v>19</v>
      </c>
      <c r="N139" s="14" t="s">
        <v>157</v>
      </c>
      <c r="O139" s="20" t="s">
        <v>542</v>
      </c>
    </row>
    <row r="140" spans="1:15" ht="15.75" x14ac:dyDescent="0.25">
      <c r="A140" s="14">
        <v>139</v>
      </c>
      <c r="B140" s="15">
        <v>63001564</v>
      </c>
      <c r="C140" s="16" t="s">
        <v>232</v>
      </c>
      <c r="D140" s="16" t="s">
        <v>178</v>
      </c>
      <c r="E140" s="14" t="s">
        <v>155</v>
      </c>
      <c r="F140" s="15"/>
      <c r="G140" s="15">
        <v>899924000138</v>
      </c>
      <c r="H140" s="18">
        <v>46106</v>
      </c>
      <c r="I140" s="18">
        <v>46104</v>
      </c>
      <c r="J140" s="18">
        <v>46104</v>
      </c>
      <c r="K140" s="18">
        <v>46105</v>
      </c>
      <c r="L140" s="15">
        <v>1</v>
      </c>
      <c r="M140" s="14" t="s">
        <v>19</v>
      </c>
      <c r="N140" s="14" t="s">
        <v>157</v>
      </c>
      <c r="O140" s="20" t="s">
        <v>542</v>
      </c>
    </row>
    <row r="141" spans="1:15" ht="15.75" x14ac:dyDescent="0.25">
      <c r="A141" s="14">
        <v>140</v>
      </c>
      <c r="B141" s="15">
        <v>63043576</v>
      </c>
      <c r="C141" s="16" t="s">
        <v>288</v>
      </c>
      <c r="D141" s="16" t="s">
        <v>164</v>
      </c>
      <c r="E141" s="14" t="s">
        <v>161</v>
      </c>
      <c r="F141" s="15"/>
      <c r="G141" s="15">
        <v>21623001872</v>
      </c>
      <c r="H141" s="18">
        <v>46106</v>
      </c>
      <c r="I141" s="18">
        <v>46100</v>
      </c>
      <c r="J141" s="18">
        <v>46100</v>
      </c>
      <c r="K141" s="18">
        <v>46101</v>
      </c>
      <c r="L141" s="15">
        <v>1</v>
      </c>
      <c r="M141" s="14" t="s">
        <v>19</v>
      </c>
      <c r="N141" s="14" t="s">
        <v>157</v>
      </c>
      <c r="O141" s="20" t="s">
        <v>542</v>
      </c>
    </row>
    <row r="142" spans="1:15" ht="15.75" x14ac:dyDescent="0.25">
      <c r="A142" s="14">
        <v>141</v>
      </c>
      <c r="B142" s="15">
        <v>63001563</v>
      </c>
      <c r="C142" s="16" t="s">
        <v>311</v>
      </c>
      <c r="D142" s="16" t="s">
        <v>199</v>
      </c>
      <c r="E142" s="14" t="s">
        <v>161</v>
      </c>
      <c r="F142" s="15"/>
      <c r="G142" s="15">
        <v>920314016552</v>
      </c>
      <c r="H142" s="18">
        <v>46107</v>
      </c>
      <c r="I142" s="18">
        <v>46103</v>
      </c>
      <c r="J142" s="18">
        <v>46103</v>
      </c>
      <c r="K142" s="18">
        <v>46104</v>
      </c>
      <c r="L142" s="15">
        <v>1</v>
      </c>
      <c r="M142" s="14" t="s">
        <v>19</v>
      </c>
      <c r="N142" s="14" t="s">
        <v>157</v>
      </c>
      <c r="O142" s="20" t="s">
        <v>542</v>
      </c>
    </row>
    <row r="143" spans="1:15" ht="15.75" x14ac:dyDescent="0.25">
      <c r="A143" s="14">
        <v>142</v>
      </c>
      <c r="B143" s="15">
        <v>63010990</v>
      </c>
      <c r="C143" s="16" t="s">
        <v>255</v>
      </c>
      <c r="D143" s="16" t="s">
        <v>247</v>
      </c>
      <c r="E143" s="14" t="s">
        <v>155</v>
      </c>
      <c r="F143" s="15"/>
      <c r="G143" s="15">
        <v>22671003660</v>
      </c>
      <c r="H143" s="18">
        <v>46107</v>
      </c>
      <c r="I143" s="18">
        <v>46106</v>
      </c>
      <c r="J143" s="18">
        <v>46106</v>
      </c>
      <c r="K143" s="18">
        <v>46107</v>
      </c>
      <c r="L143" s="15">
        <v>1</v>
      </c>
      <c r="M143" s="14" t="s">
        <v>19</v>
      </c>
      <c r="N143" s="14" t="s">
        <v>157</v>
      </c>
      <c r="O143" s="20" t="s">
        <v>542</v>
      </c>
    </row>
    <row r="144" spans="1:15" ht="15.75" x14ac:dyDescent="0.25">
      <c r="A144" s="14">
        <v>143</v>
      </c>
      <c r="B144" s="15">
        <v>63036916</v>
      </c>
      <c r="C144" s="16" t="s">
        <v>312</v>
      </c>
      <c r="D144" s="16" t="s">
        <v>178</v>
      </c>
      <c r="E144" s="14" t="s">
        <v>155</v>
      </c>
      <c r="F144" s="15"/>
      <c r="G144" s="15">
        <v>971883003435</v>
      </c>
      <c r="H144" s="18">
        <v>46107</v>
      </c>
      <c r="I144" s="18">
        <v>46099</v>
      </c>
      <c r="J144" s="18">
        <v>46099</v>
      </c>
      <c r="K144" s="18">
        <v>46100</v>
      </c>
      <c r="L144" s="15">
        <v>1</v>
      </c>
      <c r="M144" s="14" t="s">
        <v>19</v>
      </c>
      <c r="N144" s="14" t="s">
        <v>157</v>
      </c>
      <c r="O144" s="20" t="s">
        <v>542</v>
      </c>
    </row>
    <row r="145" spans="1:15" ht="15.75" x14ac:dyDescent="0.25">
      <c r="A145" s="14">
        <v>144</v>
      </c>
      <c r="B145" s="15">
        <v>63001562</v>
      </c>
      <c r="C145" s="16" t="s">
        <v>279</v>
      </c>
      <c r="D145" s="16" t="s">
        <v>176</v>
      </c>
      <c r="E145" s="14" t="s">
        <v>161</v>
      </c>
      <c r="F145" s="15">
        <v>20</v>
      </c>
      <c r="G145" s="15">
        <v>926513000750</v>
      </c>
      <c r="H145" s="18">
        <v>46083</v>
      </c>
      <c r="I145" s="18">
        <v>46083</v>
      </c>
      <c r="J145" s="18">
        <v>46083</v>
      </c>
      <c r="K145" s="18">
        <v>46084</v>
      </c>
      <c r="L145" s="15">
        <v>1</v>
      </c>
      <c r="M145" s="14" t="s">
        <v>19</v>
      </c>
      <c r="N145" s="14" t="s">
        <v>157</v>
      </c>
      <c r="O145" s="20" t="s">
        <v>542</v>
      </c>
    </row>
    <row r="146" spans="1:15" ht="15.75" x14ac:dyDescent="0.25">
      <c r="A146" s="14">
        <v>145</v>
      </c>
      <c r="B146" s="15">
        <v>63001562</v>
      </c>
      <c r="C146" s="16" t="s">
        <v>279</v>
      </c>
      <c r="D146" s="16" t="s">
        <v>176</v>
      </c>
      <c r="E146" s="14" t="s">
        <v>161</v>
      </c>
      <c r="F146" s="15">
        <v>20</v>
      </c>
      <c r="G146" s="15">
        <v>926513000750</v>
      </c>
      <c r="H146" s="18">
        <v>46087</v>
      </c>
      <c r="I146" s="18">
        <v>46086</v>
      </c>
      <c r="J146" s="18">
        <v>46105</v>
      </c>
      <c r="K146" s="18">
        <v>46106</v>
      </c>
      <c r="L146" s="15">
        <v>20</v>
      </c>
      <c r="M146" s="14" t="s">
        <v>19</v>
      </c>
      <c r="N146" s="14" t="s">
        <v>157</v>
      </c>
      <c r="O146" s="20" t="s">
        <v>542</v>
      </c>
    </row>
    <row r="147" spans="1:15" ht="15.75" x14ac:dyDescent="0.25">
      <c r="A147" s="14">
        <v>146</v>
      </c>
      <c r="B147" s="15">
        <v>63001562</v>
      </c>
      <c r="C147" s="16" t="s">
        <v>279</v>
      </c>
      <c r="D147" s="16" t="s">
        <v>176</v>
      </c>
      <c r="E147" s="14" t="s">
        <v>161</v>
      </c>
      <c r="F147" s="15">
        <v>20</v>
      </c>
      <c r="G147" s="15">
        <v>926513000750</v>
      </c>
      <c r="H147" s="18">
        <v>46107</v>
      </c>
      <c r="I147" s="18">
        <v>46106</v>
      </c>
      <c r="J147" s="18">
        <v>46112</v>
      </c>
      <c r="K147" s="18">
        <v>46113</v>
      </c>
      <c r="L147" s="15">
        <v>7</v>
      </c>
      <c r="M147" s="14" t="s">
        <v>19</v>
      </c>
      <c r="N147" s="14" t="s">
        <v>157</v>
      </c>
      <c r="O147" s="20" t="s">
        <v>542</v>
      </c>
    </row>
    <row r="148" spans="1:15" ht="15.75" x14ac:dyDescent="0.25">
      <c r="A148" s="14">
        <v>147</v>
      </c>
      <c r="B148" s="15">
        <v>63001831</v>
      </c>
      <c r="C148" s="16" t="s">
        <v>313</v>
      </c>
      <c r="D148" s="16" t="s">
        <v>286</v>
      </c>
      <c r="E148" s="14" t="s">
        <v>161</v>
      </c>
      <c r="F148" s="15"/>
      <c r="G148" s="15">
        <v>810249020655</v>
      </c>
      <c r="H148" s="18">
        <v>46107</v>
      </c>
      <c r="I148" s="18">
        <v>46106</v>
      </c>
      <c r="J148" s="18">
        <v>46107</v>
      </c>
      <c r="K148" s="18">
        <v>46108</v>
      </c>
      <c r="L148" s="15">
        <v>2</v>
      </c>
      <c r="M148" s="14" t="s">
        <v>19</v>
      </c>
      <c r="N148" s="14" t="s">
        <v>157</v>
      </c>
      <c r="O148" s="20" t="s">
        <v>542</v>
      </c>
    </row>
    <row r="149" spans="1:15" ht="15.75" x14ac:dyDescent="0.25">
      <c r="A149" s="14">
        <v>148</v>
      </c>
      <c r="B149" s="15">
        <v>63030548</v>
      </c>
      <c r="C149" s="16" t="s">
        <v>208</v>
      </c>
      <c r="D149" s="16" t="s">
        <v>209</v>
      </c>
      <c r="E149" s="14" t="s">
        <v>155</v>
      </c>
      <c r="F149" s="15"/>
      <c r="G149" s="15">
        <v>951020010564</v>
      </c>
      <c r="H149" s="18">
        <v>46107</v>
      </c>
      <c r="I149" s="18">
        <v>46104</v>
      </c>
      <c r="J149" s="18">
        <v>46106</v>
      </c>
      <c r="K149" s="18">
        <v>46107</v>
      </c>
      <c r="L149" s="15">
        <v>3</v>
      </c>
      <c r="M149" s="14" t="s">
        <v>19</v>
      </c>
      <c r="N149" s="14" t="s">
        <v>157</v>
      </c>
      <c r="O149" s="20" t="s">
        <v>542</v>
      </c>
    </row>
    <row r="150" spans="1:15" ht="15.75" x14ac:dyDescent="0.25">
      <c r="A150" s="14">
        <v>149</v>
      </c>
      <c r="B150" s="15">
        <v>63001642</v>
      </c>
      <c r="C150" s="16" t="s">
        <v>314</v>
      </c>
      <c r="D150" s="16" t="s">
        <v>315</v>
      </c>
      <c r="E150" s="14" t="s">
        <v>155</v>
      </c>
      <c r="F150" s="15"/>
      <c r="G150" s="15">
        <v>920835008539</v>
      </c>
      <c r="H150" s="18">
        <v>46107</v>
      </c>
      <c r="I150" s="18">
        <v>46104</v>
      </c>
      <c r="J150" s="18">
        <v>46107</v>
      </c>
      <c r="K150" s="18">
        <v>46108</v>
      </c>
      <c r="L150" s="15">
        <v>4</v>
      </c>
      <c r="M150" s="14" t="s">
        <v>19</v>
      </c>
      <c r="N150" s="14" t="s">
        <v>157</v>
      </c>
      <c r="O150" s="20" t="s">
        <v>542</v>
      </c>
    </row>
    <row r="151" spans="1:15" ht="15.75" x14ac:dyDescent="0.25">
      <c r="A151" s="14">
        <v>150</v>
      </c>
      <c r="B151" s="15">
        <v>63010875</v>
      </c>
      <c r="C151" s="16" t="s">
        <v>258</v>
      </c>
      <c r="D151" s="16" t="s">
        <v>176</v>
      </c>
      <c r="E151" s="14" t="s">
        <v>155</v>
      </c>
      <c r="F151" s="15">
        <v>20</v>
      </c>
      <c r="G151" s="15">
        <v>910034047646</v>
      </c>
      <c r="H151" s="18">
        <v>46107</v>
      </c>
      <c r="I151" s="18">
        <v>46104</v>
      </c>
      <c r="J151" s="18">
        <v>46106</v>
      </c>
      <c r="K151" s="18">
        <v>46107</v>
      </c>
      <c r="L151" s="15">
        <v>3</v>
      </c>
      <c r="M151" s="14" t="s">
        <v>19</v>
      </c>
      <c r="N151" s="14" t="s">
        <v>157</v>
      </c>
      <c r="O151" s="20" t="s">
        <v>542</v>
      </c>
    </row>
    <row r="152" spans="1:15" ht="15.75" x14ac:dyDescent="0.25">
      <c r="A152" s="14">
        <v>151</v>
      </c>
      <c r="B152" s="15">
        <v>63001779</v>
      </c>
      <c r="C152" s="16" t="s">
        <v>316</v>
      </c>
      <c r="D152" s="16" t="s">
        <v>298</v>
      </c>
      <c r="E152" s="14" t="s">
        <v>161</v>
      </c>
      <c r="F152" s="15"/>
      <c r="G152" s="15">
        <v>944583002041</v>
      </c>
      <c r="H152" s="18">
        <v>46110</v>
      </c>
      <c r="I152" s="18">
        <v>46099</v>
      </c>
      <c r="J152" s="18">
        <v>46100</v>
      </c>
      <c r="K152" s="18">
        <v>45895</v>
      </c>
      <c r="L152" s="15">
        <v>2</v>
      </c>
      <c r="M152" s="14" t="s">
        <v>19</v>
      </c>
      <c r="N152" s="14" t="s">
        <v>157</v>
      </c>
      <c r="O152" s="20" t="s">
        <v>542</v>
      </c>
    </row>
    <row r="153" spans="1:15" ht="15.75" x14ac:dyDescent="0.25">
      <c r="A153" s="14">
        <v>152</v>
      </c>
      <c r="B153" s="15">
        <v>63001539</v>
      </c>
      <c r="C153" s="16" t="s">
        <v>317</v>
      </c>
      <c r="D153" s="16" t="s">
        <v>194</v>
      </c>
      <c r="E153" s="14" t="s">
        <v>161</v>
      </c>
      <c r="F153" s="15"/>
      <c r="G153" s="15">
        <v>909792000234</v>
      </c>
      <c r="H153" s="18">
        <v>46110</v>
      </c>
      <c r="I153" s="18">
        <v>46110</v>
      </c>
      <c r="J153" s="18">
        <v>46111</v>
      </c>
      <c r="K153" s="18">
        <v>46112</v>
      </c>
      <c r="L153" s="15">
        <v>2</v>
      </c>
      <c r="M153" s="14" t="s">
        <v>19</v>
      </c>
      <c r="N153" s="14" t="s">
        <v>157</v>
      </c>
      <c r="O153" s="20" t="s">
        <v>542</v>
      </c>
    </row>
    <row r="154" spans="1:15" ht="15.75" x14ac:dyDescent="0.25">
      <c r="A154" s="14">
        <v>153</v>
      </c>
      <c r="B154" s="15">
        <v>63001719</v>
      </c>
      <c r="C154" s="16" t="s">
        <v>163</v>
      </c>
      <c r="D154" s="16" t="s">
        <v>164</v>
      </c>
      <c r="E154" s="14" t="s">
        <v>161</v>
      </c>
      <c r="F154" s="15">
        <v>22</v>
      </c>
      <c r="G154" s="15">
        <v>922129005348</v>
      </c>
      <c r="H154" s="18">
        <v>46110</v>
      </c>
      <c r="I154" s="18">
        <v>46107</v>
      </c>
      <c r="J154" s="18">
        <v>46136</v>
      </c>
      <c r="K154" s="18">
        <v>46137</v>
      </c>
      <c r="L154" s="15">
        <v>30</v>
      </c>
      <c r="M154" s="14" t="s">
        <v>19</v>
      </c>
      <c r="N154" s="14" t="s">
        <v>165</v>
      </c>
      <c r="O154" s="20" t="s">
        <v>158</v>
      </c>
    </row>
    <row r="155" spans="1:15" ht="15.75" x14ac:dyDescent="0.25">
      <c r="A155" s="14">
        <v>154</v>
      </c>
      <c r="B155" s="15">
        <v>63001539</v>
      </c>
      <c r="C155" s="16" t="s">
        <v>317</v>
      </c>
      <c r="D155" s="16" t="s">
        <v>194</v>
      </c>
      <c r="E155" s="14" t="s">
        <v>161</v>
      </c>
      <c r="F155" s="15"/>
      <c r="G155" s="15">
        <v>909792000234</v>
      </c>
      <c r="H155" s="18">
        <v>46110</v>
      </c>
      <c r="I155" s="18">
        <v>46110</v>
      </c>
      <c r="J155" s="18">
        <v>46111</v>
      </c>
      <c r="K155" s="18">
        <v>46112</v>
      </c>
      <c r="L155" s="15">
        <v>2</v>
      </c>
      <c r="M155" s="14" t="s">
        <v>19</v>
      </c>
      <c r="N155" s="14" t="s">
        <v>157</v>
      </c>
      <c r="O155" s="20" t="s">
        <v>542</v>
      </c>
    </row>
    <row r="156" spans="1:15" ht="15.75" x14ac:dyDescent="0.25">
      <c r="A156" s="14">
        <v>155</v>
      </c>
      <c r="B156" s="15">
        <v>63001337</v>
      </c>
      <c r="C156" s="16" t="s">
        <v>188</v>
      </c>
      <c r="D156" s="16" t="s">
        <v>189</v>
      </c>
      <c r="E156" s="14" t="s">
        <v>161</v>
      </c>
      <c r="F156" s="15">
        <v>22</v>
      </c>
      <c r="G156" s="15">
        <v>890042008543</v>
      </c>
      <c r="H156" s="18">
        <v>46110</v>
      </c>
      <c r="I156" s="18">
        <v>46110</v>
      </c>
      <c r="J156" s="18">
        <v>46133</v>
      </c>
      <c r="K156" s="18">
        <v>46134</v>
      </c>
      <c r="L156" s="15">
        <v>24</v>
      </c>
      <c r="M156" s="14" t="s">
        <v>19</v>
      </c>
      <c r="N156" s="14" t="s">
        <v>165</v>
      </c>
      <c r="O156" s="20" t="s">
        <v>542</v>
      </c>
    </row>
    <row r="157" spans="1:15" ht="15.75" x14ac:dyDescent="0.25">
      <c r="A157" s="14">
        <v>156</v>
      </c>
      <c r="B157" s="15">
        <v>63030548</v>
      </c>
      <c r="C157" s="16" t="s">
        <v>208</v>
      </c>
      <c r="D157" s="16" t="s">
        <v>209</v>
      </c>
      <c r="E157" s="14" t="s">
        <v>155</v>
      </c>
      <c r="F157" s="15"/>
      <c r="G157" s="15">
        <v>951020010564</v>
      </c>
      <c r="H157" s="18">
        <v>46110</v>
      </c>
      <c r="I157" s="18">
        <v>46107</v>
      </c>
      <c r="J157" s="18">
        <v>46107</v>
      </c>
      <c r="K157" s="18">
        <v>46108</v>
      </c>
      <c r="L157" s="15">
        <v>1</v>
      </c>
      <c r="M157" s="14" t="s">
        <v>19</v>
      </c>
      <c r="N157" s="14" t="s">
        <v>157</v>
      </c>
      <c r="O157" s="20" t="s">
        <v>542</v>
      </c>
    </row>
    <row r="158" spans="1:15" ht="15.75" x14ac:dyDescent="0.25">
      <c r="A158" s="14">
        <v>157</v>
      </c>
      <c r="B158" s="15">
        <v>63001649</v>
      </c>
      <c r="C158" s="16" t="s">
        <v>318</v>
      </c>
      <c r="D158" s="16" t="s">
        <v>319</v>
      </c>
      <c r="E158" s="14" t="s">
        <v>161</v>
      </c>
      <c r="F158" s="15"/>
      <c r="G158" s="15">
        <v>920930007347</v>
      </c>
      <c r="H158" s="18">
        <v>46107</v>
      </c>
      <c r="I158" s="18">
        <v>46097</v>
      </c>
      <c r="J158" s="18">
        <v>46330</v>
      </c>
      <c r="K158" s="18">
        <v>46331</v>
      </c>
      <c r="L158" s="15">
        <v>20</v>
      </c>
      <c r="M158" s="14" t="s">
        <v>19</v>
      </c>
      <c r="N158" s="14" t="s">
        <v>157</v>
      </c>
      <c r="O158" s="20" t="s">
        <v>542</v>
      </c>
    </row>
    <row r="159" spans="1:15" ht="15.75" x14ac:dyDescent="0.25">
      <c r="A159" s="14">
        <v>158</v>
      </c>
      <c r="B159" s="15">
        <v>63001827</v>
      </c>
      <c r="C159" s="16" t="s">
        <v>179</v>
      </c>
      <c r="D159" s="16" t="s">
        <v>178</v>
      </c>
      <c r="E159" s="14" t="s">
        <v>155</v>
      </c>
      <c r="F159" s="15">
        <v>20</v>
      </c>
      <c r="G159" s="15">
        <v>670466005048</v>
      </c>
      <c r="H159" s="18">
        <v>46111</v>
      </c>
      <c r="I159" s="18">
        <v>46105</v>
      </c>
      <c r="J159" s="18">
        <v>46105</v>
      </c>
      <c r="K159" s="18">
        <v>46106</v>
      </c>
      <c r="L159" s="15">
        <v>1</v>
      </c>
      <c r="M159" s="14" t="s">
        <v>19</v>
      </c>
      <c r="N159" s="14" t="s">
        <v>157</v>
      </c>
      <c r="O159" s="20" t="s">
        <v>542</v>
      </c>
    </row>
    <row r="160" spans="1:15" ht="15.75" x14ac:dyDescent="0.25">
      <c r="A160" s="14">
        <v>159</v>
      </c>
      <c r="B160" s="15">
        <v>63001827</v>
      </c>
      <c r="C160" s="16" t="s">
        <v>179</v>
      </c>
      <c r="D160" s="16" t="s">
        <v>178</v>
      </c>
      <c r="E160" s="14" t="s">
        <v>155</v>
      </c>
      <c r="F160" s="15">
        <v>20</v>
      </c>
      <c r="G160" s="15">
        <v>670466005048</v>
      </c>
      <c r="H160" s="18">
        <v>46111</v>
      </c>
      <c r="I160" s="18">
        <v>46106</v>
      </c>
      <c r="J160" s="18">
        <v>46106</v>
      </c>
      <c r="K160" s="18">
        <v>46107</v>
      </c>
      <c r="L160" s="15">
        <v>1</v>
      </c>
      <c r="M160" s="14" t="s">
        <v>19</v>
      </c>
      <c r="N160" s="14" t="s">
        <v>157</v>
      </c>
      <c r="O160" s="20" t="s">
        <v>542</v>
      </c>
    </row>
    <row r="161" spans="1:15" ht="15.75" x14ac:dyDescent="0.25">
      <c r="A161" s="14">
        <v>160</v>
      </c>
      <c r="B161" s="15">
        <v>63001804</v>
      </c>
      <c r="C161" s="16" t="s">
        <v>321</v>
      </c>
      <c r="D161" s="16" t="s">
        <v>176</v>
      </c>
      <c r="E161" s="14" t="s">
        <v>155</v>
      </c>
      <c r="F161" s="15"/>
      <c r="G161" s="15">
        <v>965484000635</v>
      </c>
      <c r="H161" s="18">
        <v>46111</v>
      </c>
      <c r="I161" s="18">
        <v>46109</v>
      </c>
      <c r="J161" s="18">
        <v>46109</v>
      </c>
      <c r="K161" s="18">
        <v>46110</v>
      </c>
      <c r="L161" s="15">
        <v>1</v>
      </c>
      <c r="M161" s="14" t="s">
        <v>19</v>
      </c>
      <c r="N161" s="14" t="s">
        <v>157</v>
      </c>
      <c r="O161" s="20" t="s">
        <v>542</v>
      </c>
    </row>
    <row r="162" spans="1:15" ht="15.75" x14ac:dyDescent="0.25">
      <c r="A162" s="14">
        <v>161</v>
      </c>
      <c r="B162" s="15">
        <v>63001716</v>
      </c>
      <c r="C162" s="16" t="s">
        <v>253</v>
      </c>
      <c r="D162" s="16" t="s">
        <v>254</v>
      </c>
      <c r="E162" s="14" t="s">
        <v>155</v>
      </c>
      <c r="F162" s="15">
        <v>18</v>
      </c>
      <c r="G162" s="15">
        <v>953136001550</v>
      </c>
      <c r="H162" s="18">
        <v>46111</v>
      </c>
      <c r="I162" s="18">
        <v>46110</v>
      </c>
      <c r="J162" s="18">
        <v>46110</v>
      </c>
      <c r="K162" s="18">
        <v>46111</v>
      </c>
      <c r="L162" s="15">
        <v>1</v>
      </c>
      <c r="M162" s="14" t="s">
        <v>19</v>
      </c>
      <c r="N162" s="14" t="s">
        <v>157</v>
      </c>
      <c r="O162" s="20" t="s">
        <v>542</v>
      </c>
    </row>
    <row r="163" spans="1:15" ht="15.75" x14ac:dyDescent="0.25">
      <c r="A163" s="14">
        <v>162</v>
      </c>
      <c r="B163" s="15">
        <v>63001459</v>
      </c>
      <c r="C163" s="16" t="s">
        <v>202</v>
      </c>
      <c r="D163" s="16" t="s">
        <v>203</v>
      </c>
      <c r="E163" s="14" t="s">
        <v>155</v>
      </c>
      <c r="F163" s="15">
        <v>20</v>
      </c>
      <c r="G163" s="15">
        <v>910027029049</v>
      </c>
      <c r="H163" s="18">
        <v>46111</v>
      </c>
      <c r="I163" s="18">
        <v>46110</v>
      </c>
      <c r="J163" s="18">
        <v>46110</v>
      </c>
      <c r="K163" s="18">
        <v>46111</v>
      </c>
      <c r="L163" s="15">
        <v>1</v>
      </c>
      <c r="M163" s="14" t="s">
        <v>19</v>
      </c>
      <c r="N163" s="14" t="s">
        <v>157</v>
      </c>
      <c r="O163" s="20" t="s">
        <v>542</v>
      </c>
    </row>
    <row r="164" spans="1:15" ht="15.75" x14ac:dyDescent="0.25">
      <c r="A164" s="14">
        <v>163</v>
      </c>
      <c r="B164" s="15">
        <v>63001595</v>
      </c>
      <c r="C164" s="16" t="s">
        <v>322</v>
      </c>
      <c r="D164" s="16" t="s">
        <v>164</v>
      </c>
      <c r="E164" s="14" t="s">
        <v>161</v>
      </c>
      <c r="F164" s="15"/>
      <c r="G164" s="15">
        <v>907576000141</v>
      </c>
      <c r="H164" s="18">
        <v>46111</v>
      </c>
      <c r="I164" s="18">
        <v>46110</v>
      </c>
      <c r="J164" s="18">
        <v>46199</v>
      </c>
      <c r="K164" s="18">
        <v>46200</v>
      </c>
      <c r="L164" s="15">
        <v>90</v>
      </c>
      <c r="M164" s="14" t="s">
        <v>19</v>
      </c>
      <c r="N164" s="14" t="s">
        <v>157</v>
      </c>
      <c r="O164" s="20" t="s">
        <v>158</v>
      </c>
    </row>
    <row r="165" spans="1:15" ht="15.75" x14ac:dyDescent="0.25">
      <c r="A165" s="14">
        <v>164</v>
      </c>
      <c r="B165" s="15">
        <v>63001788</v>
      </c>
      <c r="C165" s="16" t="s">
        <v>276</v>
      </c>
      <c r="D165" s="16" t="s">
        <v>277</v>
      </c>
      <c r="E165" s="14" t="s">
        <v>155</v>
      </c>
      <c r="F165" s="15">
        <v>18</v>
      </c>
      <c r="G165" s="15">
        <v>872863000445</v>
      </c>
      <c r="H165" s="18">
        <v>46111</v>
      </c>
      <c r="I165" s="18">
        <v>46110</v>
      </c>
      <c r="J165" s="18">
        <v>46110</v>
      </c>
      <c r="K165" s="18">
        <v>46111</v>
      </c>
      <c r="L165" s="15">
        <v>1</v>
      </c>
      <c r="M165" s="14" t="s">
        <v>19</v>
      </c>
      <c r="N165" s="14" t="s">
        <v>157</v>
      </c>
      <c r="O165" s="20" t="s">
        <v>542</v>
      </c>
    </row>
    <row r="166" spans="1:15" ht="15.75" x14ac:dyDescent="0.25">
      <c r="A166" s="14">
        <v>165</v>
      </c>
      <c r="B166" s="15">
        <v>63001362</v>
      </c>
      <c r="C166" s="16" t="s">
        <v>235</v>
      </c>
      <c r="D166" s="16" t="s">
        <v>236</v>
      </c>
      <c r="E166" s="14" t="s">
        <v>161</v>
      </c>
      <c r="F166" s="15">
        <v>24</v>
      </c>
      <c r="G166" s="15">
        <v>850788004534</v>
      </c>
      <c r="H166" s="18">
        <v>46113</v>
      </c>
      <c r="I166" s="18">
        <v>46112</v>
      </c>
      <c r="J166" s="18">
        <v>46112</v>
      </c>
      <c r="K166" s="18">
        <v>46113</v>
      </c>
      <c r="L166" s="15">
        <v>1</v>
      </c>
      <c r="M166" s="14" t="s">
        <v>19</v>
      </c>
      <c r="N166" s="14" t="s">
        <v>157</v>
      </c>
      <c r="O166" s="20" t="s">
        <v>542</v>
      </c>
    </row>
    <row r="167" spans="1:15" ht="15.75" x14ac:dyDescent="0.25">
      <c r="A167" s="14">
        <v>166</v>
      </c>
      <c r="B167" s="15">
        <v>63001698</v>
      </c>
      <c r="C167" s="16" t="s">
        <v>182</v>
      </c>
      <c r="D167" s="16" t="s">
        <v>183</v>
      </c>
      <c r="E167" s="14" t="s">
        <v>161</v>
      </c>
      <c r="F167" s="15">
        <v>22</v>
      </c>
      <c r="G167" s="15">
        <v>910461009738</v>
      </c>
      <c r="H167" s="18">
        <v>46113</v>
      </c>
      <c r="I167" s="18">
        <v>46110</v>
      </c>
      <c r="J167" s="18">
        <v>46110</v>
      </c>
      <c r="K167" s="18">
        <v>46111</v>
      </c>
      <c r="L167" s="15">
        <v>1</v>
      </c>
      <c r="M167" s="14" t="s">
        <v>19</v>
      </c>
      <c r="N167" s="14" t="s">
        <v>157</v>
      </c>
      <c r="O167" s="20" t="s">
        <v>542</v>
      </c>
    </row>
    <row r="168" spans="1:15" ht="15.75" x14ac:dyDescent="0.25">
      <c r="A168" s="14">
        <v>167</v>
      </c>
      <c r="B168" s="15">
        <v>63001482</v>
      </c>
      <c r="C168" s="16" t="s">
        <v>323</v>
      </c>
      <c r="D168" s="16" t="s">
        <v>247</v>
      </c>
      <c r="E168" s="14" t="s">
        <v>155</v>
      </c>
      <c r="F168" s="15"/>
      <c r="G168" s="15">
        <v>800127022362</v>
      </c>
      <c r="H168" s="18">
        <v>46113</v>
      </c>
      <c r="I168" s="18">
        <v>46112</v>
      </c>
      <c r="J168" s="18">
        <v>46112</v>
      </c>
      <c r="K168" s="18">
        <v>46113</v>
      </c>
      <c r="L168" s="15">
        <v>1</v>
      </c>
      <c r="M168" s="14" t="s">
        <v>19</v>
      </c>
      <c r="N168" s="14" t="s">
        <v>157</v>
      </c>
      <c r="O168" s="20" t="s">
        <v>542</v>
      </c>
    </row>
    <row r="169" spans="1:15" ht="15.75" x14ac:dyDescent="0.25">
      <c r="A169" s="14">
        <v>168</v>
      </c>
      <c r="B169" s="15">
        <v>63001472</v>
      </c>
      <c r="C169" s="16" t="s">
        <v>175</v>
      </c>
      <c r="D169" s="16" t="s">
        <v>176</v>
      </c>
      <c r="E169" s="14" t="s">
        <v>155</v>
      </c>
      <c r="F169" s="15">
        <v>20</v>
      </c>
      <c r="G169" s="15">
        <v>880683011641</v>
      </c>
      <c r="H169" s="18">
        <v>46113</v>
      </c>
      <c r="I169" s="18">
        <v>46113</v>
      </c>
      <c r="J169" s="18">
        <v>46157</v>
      </c>
      <c r="K169" s="18">
        <v>46158</v>
      </c>
      <c r="L169" s="15">
        <v>45</v>
      </c>
      <c r="M169" s="14" t="s">
        <v>19</v>
      </c>
      <c r="N169" s="14" t="s">
        <v>165</v>
      </c>
      <c r="O169" s="20" t="s">
        <v>542</v>
      </c>
    </row>
    <row r="170" spans="1:15" ht="15.75" x14ac:dyDescent="0.25">
      <c r="A170" s="14">
        <v>169</v>
      </c>
      <c r="B170" s="15">
        <v>63001341</v>
      </c>
      <c r="C170" s="16" t="s">
        <v>324</v>
      </c>
      <c r="D170" s="16" t="s">
        <v>199</v>
      </c>
      <c r="E170" s="14" t="s">
        <v>161</v>
      </c>
      <c r="F170" s="15"/>
      <c r="G170" s="15">
        <v>880958009624</v>
      </c>
      <c r="H170" s="18">
        <v>46113</v>
      </c>
      <c r="I170" s="18">
        <v>46110</v>
      </c>
      <c r="J170" s="18">
        <v>46114</v>
      </c>
      <c r="K170" s="18">
        <v>46115</v>
      </c>
      <c r="L170" s="15">
        <v>5</v>
      </c>
      <c r="M170" s="14" t="s">
        <v>19</v>
      </c>
      <c r="N170" s="14" t="s">
        <v>157</v>
      </c>
      <c r="O170" s="20" t="s">
        <v>542</v>
      </c>
    </row>
    <row r="171" spans="1:15" ht="15.75" x14ac:dyDescent="0.25">
      <c r="A171" s="14">
        <v>170</v>
      </c>
      <c r="B171" s="15">
        <v>63001698</v>
      </c>
      <c r="C171" s="16" t="s">
        <v>182</v>
      </c>
      <c r="D171" s="16" t="s">
        <v>183</v>
      </c>
      <c r="E171" s="14" t="s">
        <v>161</v>
      </c>
      <c r="F171" s="15">
        <v>22</v>
      </c>
      <c r="G171" s="15">
        <v>910461009738</v>
      </c>
      <c r="H171" s="18">
        <v>46113</v>
      </c>
      <c r="I171" s="18">
        <v>46113</v>
      </c>
      <c r="J171" s="18">
        <v>46114</v>
      </c>
      <c r="K171" s="18">
        <v>46115</v>
      </c>
      <c r="L171" s="15">
        <v>2</v>
      </c>
      <c r="M171" s="14" t="s">
        <v>19</v>
      </c>
      <c r="N171" s="14" t="s">
        <v>157</v>
      </c>
      <c r="O171" s="20" t="s">
        <v>542</v>
      </c>
    </row>
    <row r="172" spans="1:15" ht="15.75" x14ac:dyDescent="0.25">
      <c r="A172" s="14">
        <v>171</v>
      </c>
      <c r="B172" s="15">
        <v>63001562</v>
      </c>
      <c r="C172" s="16" t="s">
        <v>279</v>
      </c>
      <c r="D172" s="16" t="s">
        <v>176</v>
      </c>
      <c r="E172" s="14" t="s">
        <v>161</v>
      </c>
      <c r="F172" s="15">
        <v>20</v>
      </c>
      <c r="G172" s="15">
        <v>926513000750</v>
      </c>
      <c r="H172" s="18">
        <v>46117</v>
      </c>
      <c r="I172" s="18">
        <v>46113</v>
      </c>
      <c r="J172" s="18">
        <v>46121</v>
      </c>
      <c r="K172" s="18">
        <v>46122</v>
      </c>
      <c r="L172" s="15">
        <v>9</v>
      </c>
      <c r="M172" s="14" t="s">
        <v>19</v>
      </c>
      <c r="N172" s="14" t="s">
        <v>157</v>
      </c>
      <c r="O172" s="20" t="s">
        <v>542</v>
      </c>
    </row>
    <row r="173" spans="1:15" ht="15.75" x14ac:dyDescent="0.25">
      <c r="A173" s="14">
        <v>172</v>
      </c>
      <c r="B173" s="15">
        <v>63001827</v>
      </c>
      <c r="C173" s="16" t="s">
        <v>179</v>
      </c>
      <c r="D173" s="16" t="s">
        <v>178</v>
      </c>
      <c r="E173" s="14" t="s">
        <v>155</v>
      </c>
      <c r="F173" s="15">
        <v>20</v>
      </c>
      <c r="G173" s="15">
        <v>670466005048</v>
      </c>
      <c r="H173" s="18">
        <v>46117</v>
      </c>
      <c r="I173" s="18">
        <v>46113</v>
      </c>
      <c r="J173" s="18">
        <v>46113</v>
      </c>
      <c r="K173" s="18">
        <v>46114</v>
      </c>
      <c r="L173" s="15">
        <v>1</v>
      </c>
      <c r="M173" s="14" t="s">
        <v>19</v>
      </c>
      <c r="N173" s="14" t="s">
        <v>157</v>
      </c>
      <c r="O173" s="20" t="s">
        <v>542</v>
      </c>
    </row>
    <row r="174" spans="1:15" ht="15.75" x14ac:dyDescent="0.25">
      <c r="A174" s="14">
        <v>173</v>
      </c>
      <c r="B174" s="15">
        <v>63001827</v>
      </c>
      <c r="C174" s="16" t="s">
        <v>179</v>
      </c>
      <c r="D174" s="16" t="s">
        <v>178</v>
      </c>
      <c r="E174" s="14" t="s">
        <v>155</v>
      </c>
      <c r="F174" s="15">
        <v>20</v>
      </c>
      <c r="G174" s="15">
        <v>670466005048</v>
      </c>
      <c r="H174" s="18">
        <v>46117</v>
      </c>
      <c r="I174" s="18">
        <v>46114</v>
      </c>
      <c r="J174" s="18">
        <v>46114</v>
      </c>
      <c r="K174" s="18">
        <v>46115</v>
      </c>
      <c r="L174" s="15">
        <v>1</v>
      </c>
      <c r="M174" s="14" t="s">
        <v>19</v>
      </c>
      <c r="N174" s="14" t="s">
        <v>157</v>
      </c>
      <c r="O174" s="20" t="s">
        <v>542</v>
      </c>
    </row>
    <row r="175" spans="1:15" ht="15.75" x14ac:dyDescent="0.25">
      <c r="A175" s="14">
        <v>174</v>
      </c>
      <c r="B175" s="15">
        <v>63001688</v>
      </c>
      <c r="C175" s="16" t="s">
        <v>305</v>
      </c>
      <c r="D175" s="16" t="s">
        <v>306</v>
      </c>
      <c r="E175" s="14" t="s">
        <v>155</v>
      </c>
      <c r="F175" s="15"/>
      <c r="G175" s="15">
        <v>853341000654</v>
      </c>
      <c r="H175" s="18">
        <v>46118</v>
      </c>
      <c r="I175" s="18">
        <v>46118</v>
      </c>
      <c r="J175" s="18">
        <v>46118</v>
      </c>
      <c r="K175" s="18">
        <v>46119</v>
      </c>
      <c r="L175" s="15">
        <v>1</v>
      </c>
      <c r="M175" s="14" t="s">
        <v>19</v>
      </c>
      <c r="N175" s="14" t="s">
        <v>157</v>
      </c>
      <c r="O175" s="20" t="s">
        <v>542</v>
      </c>
    </row>
    <row r="176" spans="1:15" ht="15.75" x14ac:dyDescent="0.25">
      <c r="A176" s="14">
        <v>175</v>
      </c>
      <c r="B176" s="15">
        <v>63001688</v>
      </c>
      <c r="C176" s="16" t="s">
        <v>305</v>
      </c>
      <c r="D176" s="16" t="s">
        <v>306</v>
      </c>
      <c r="E176" s="14" t="s">
        <v>155</v>
      </c>
      <c r="F176" s="15"/>
      <c r="G176" s="15">
        <v>853341000654</v>
      </c>
      <c r="H176" s="18">
        <v>46118</v>
      </c>
      <c r="I176" s="18">
        <v>46117</v>
      </c>
      <c r="J176" s="18">
        <v>46117</v>
      </c>
      <c r="K176" s="18">
        <v>46118</v>
      </c>
      <c r="L176" s="15">
        <v>1</v>
      </c>
      <c r="M176" s="14" t="s">
        <v>19</v>
      </c>
      <c r="N176" s="14" t="s">
        <v>157</v>
      </c>
      <c r="O176" s="20" t="s">
        <v>542</v>
      </c>
    </row>
    <row r="177" spans="1:15" ht="15.75" x14ac:dyDescent="0.25">
      <c r="A177" s="14">
        <v>176</v>
      </c>
      <c r="B177" s="15">
        <v>63001351</v>
      </c>
      <c r="C177" s="16" t="s">
        <v>222</v>
      </c>
      <c r="D177" s="16" t="s">
        <v>223</v>
      </c>
      <c r="E177" s="14" t="s">
        <v>155</v>
      </c>
      <c r="F177" s="15"/>
      <c r="G177" s="15">
        <v>930119003357</v>
      </c>
      <c r="H177" s="18">
        <v>46118</v>
      </c>
      <c r="I177" s="18">
        <v>46117</v>
      </c>
      <c r="J177" s="18">
        <v>46119</v>
      </c>
      <c r="K177" s="18">
        <v>46120</v>
      </c>
      <c r="L177" s="15">
        <v>3</v>
      </c>
      <c r="M177" s="14" t="s">
        <v>19</v>
      </c>
      <c r="N177" s="14" t="s">
        <v>157</v>
      </c>
      <c r="O177" s="20" t="s">
        <v>542</v>
      </c>
    </row>
    <row r="178" spans="1:15" ht="15.75" x14ac:dyDescent="0.25">
      <c r="A178" s="14">
        <v>177</v>
      </c>
      <c r="B178" s="15">
        <v>63001414</v>
      </c>
      <c r="C178" s="16" t="s">
        <v>239</v>
      </c>
      <c r="D178" s="16" t="s">
        <v>176</v>
      </c>
      <c r="E178" s="14" t="s">
        <v>155</v>
      </c>
      <c r="F178" s="15">
        <v>20</v>
      </c>
      <c r="G178" s="15">
        <v>891357004638</v>
      </c>
      <c r="H178" s="18">
        <v>46120</v>
      </c>
      <c r="I178" s="18">
        <v>46119</v>
      </c>
      <c r="J178" s="18">
        <v>46148</v>
      </c>
      <c r="K178" s="18">
        <v>46149</v>
      </c>
      <c r="L178" s="15">
        <v>30</v>
      </c>
      <c r="M178" s="14" t="s">
        <v>19</v>
      </c>
      <c r="N178" s="14" t="s">
        <v>157</v>
      </c>
      <c r="O178" s="20" t="s">
        <v>542</v>
      </c>
    </row>
    <row r="179" spans="1:15" ht="15.75" x14ac:dyDescent="0.25">
      <c r="A179" s="14">
        <v>178</v>
      </c>
      <c r="B179" s="15">
        <v>63001696</v>
      </c>
      <c r="C179" s="16" t="s">
        <v>216</v>
      </c>
      <c r="D179" s="16" t="s">
        <v>217</v>
      </c>
      <c r="E179" s="14" t="s">
        <v>155</v>
      </c>
      <c r="F179" s="15">
        <v>18</v>
      </c>
      <c r="G179" s="15">
        <v>941693002143</v>
      </c>
      <c r="H179" s="18">
        <v>46120</v>
      </c>
      <c r="I179" s="18">
        <v>46119</v>
      </c>
      <c r="J179" s="18">
        <v>46120</v>
      </c>
      <c r="K179" s="18">
        <v>46121</v>
      </c>
      <c r="L179" s="15">
        <v>2</v>
      </c>
      <c r="M179" s="14" t="s">
        <v>19</v>
      </c>
      <c r="N179" s="14" t="s">
        <v>157</v>
      </c>
      <c r="O179" s="20" t="s">
        <v>542</v>
      </c>
    </row>
    <row r="180" spans="1:15" ht="15.75" x14ac:dyDescent="0.25">
      <c r="A180" s="14">
        <v>179</v>
      </c>
      <c r="B180" s="15">
        <v>63001519</v>
      </c>
      <c r="C180" s="16" t="s">
        <v>226</v>
      </c>
      <c r="D180" s="16" t="s">
        <v>227</v>
      </c>
      <c r="E180" s="14" t="s">
        <v>161</v>
      </c>
      <c r="F180" s="15"/>
      <c r="G180" s="15">
        <v>910617003851</v>
      </c>
      <c r="H180" s="18">
        <v>46120</v>
      </c>
      <c r="I180" s="18">
        <v>46112</v>
      </c>
      <c r="J180" s="18">
        <v>46114</v>
      </c>
      <c r="K180" s="18">
        <v>46115</v>
      </c>
      <c r="L180" s="15">
        <v>3</v>
      </c>
      <c r="M180" s="14" t="s">
        <v>19</v>
      </c>
      <c r="N180" s="14" t="s">
        <v>157</v>
      </c>
      <c r="O180" s="20" t="s">
        <v>542</v>
      </c>
    </row>
    <row r="181" spans="1:15" ht="15.75" x14ac:dyDescent="0.25">
      <c r="A181" s="14">
        <v>180</v>
      </c>
      <c r="B181" s="15">
        <v>63001793</v>
      </c>
      <c r="C181" s="16" t="s">
        <v>240</v>
      </c>
      <c r="D181" s="16" t="s">
        <v>176</v>
      </c>
      <c r="E181" s="14" t="s">
        <v>155</v>
      </c>
      <c r="F181" s="15"/>
      <c r="G181" s="15">
        <v>950235009144</v>
      </c>
      <c r="H181" s="18">
        <v>46121</v>
      </c>
      <c r="I181" s="18">
        <v>46119</v>
      </c>
      <c r="J181" s="18">
        <v>46119</v>
      </c>
      <c r="K181" s="18">
        <v>46120</v>
      </c>
      <c r="L181" s="15">
        <v>1</v>
      </c>
      <c r="M181" s="14" t="s">
        <v>19</v>
      </c>
      <c r="N181" s="14" t="s">
        <v>157</v>
      </c>
      <c r="O181" s="20" t="s">
        <v>542</v>
      </c>
    </row>
    <row r="182" spans="1:15" ht="15.75" x14ac:dyDescent="0.25">
      <c r="A182" s="14">
        <v>181</v>
      </c>
      <c r="B182" s="15">
        <v>63001452</v>
      </c>
      <c r="C182" s="16" t="s">
        <v>327</v>
      </c>
      <c r="D182" s="16" t="s">
        <v>328</v>
      </c>
      <c r="E182" s="14" t="s">
        <v>155</v>
      </c>
      <c r="F182" s="15"/>
      <c r="G182" s="15">
        <v>901145003455</v>
      </c>
      <c r="H182" s="18">
        <v>46121</v>
      </c>
      <c r="I182" s="18">
        <v>46119</v>
      </c>
      <c r="J182" s="18">
        <v>46120</v>
      </c>
      <c r="K182" s="18">
        <v>46121</v>
      </c>
      <c r="L182" s="15">
        <v>2</v>
      </c>
      <c r="M182" s="14" t="s">
        <v>19</v>
      </c>
      <c r="N182" s="14" t="s">
        <v>157</v>
      </c>
      <c r="O182" s="20" t="s">
        <v>542</v>
      </c>
    </row>
    <row r="183" spans="1:15" ht="15.75" x14ac:dyDescent="0.25">
      <c r="A183" s="14">
        <v>182</v>
      </c>
      <c r="B183" s="15">
        <v>63001500</v>
      </c>
      <c r="C183" s="16" t="s">
        <v>186</v>
      </c>
      <c r="D183" s="16" t="s">
        <v>187</v>
      </c>
      <c r="E183" s="14" t="s">
        <v>155</v>
      </c>
      <c r="F183" s="15">
        <v>20</v>
      </c>
      <c r="G183" s="15">
        <v>850409004354</v>
      </c>
      <c r="H183" s="18">
        <v>46126</v>
      </c>
      <c r="I183" s="18">
        <v>46124</v>
      </c>
      <c r="J183" s="18">
        <v>46124</v>
      </c>
      <c r="K183" s="18">
        <v>46125</v>
      </c>
      <c r="L183" s="15">
        <v>1</v>
      </c>
      <c r="M183" s="14" t="s">
        <v>19</v>
      </c>
      <c r="N183" s="14" t="s">
        <v>157</v>
      </c>
      <c r="O183" s="20" t="s">
        <v>542</v>
      </c>
    </row>
    <row r="184" spans="1:15" ht="15.75" x14ac:dyDescent="0.25">
      <c r="A184" s="14">
        <v>183</v>
      </c>
      <c r="B184" s="15">
        <v>63001716</v>
      </c>
      <c r="C184" s="16" t="s">
        <v>253</v>
      </c>
      <c r="D184" s="16" t="s">
        <v>254</v>
      </c>
      <c r="E184" s="14" t="s">
        <v>155</v>
      </c>
      <c r="F184" s="15">
        <v>18</v>
      </c>
      <c r="G184" s="15">
        <v>953136001550</v>
      </c>
      <c r="H184" s="18">
        <v>46126</v>
      </c>
      <c r="I184" s="18">
        <v>46120</v>
      </c>
      <c r="J184" s="18">
        <v>46120</v>
      </c>
      <c r="K184" s="18">
        <v>46121</v>
      </c>
      <c r="L184" s="15">
        <v>1</v>
      </c>
      <c r="M184" s="14" t="s">
        <v>19</v>
      </c>
      <c r="N184" s="14" t="s">
        <v>157</v>
      </c>
      <c r="O184" s="20" t="s">
        <v>542</v>
      </c>
    </row>
    <row r="185" spans="1:15" ht="15.75" x14ac:dyDescent="0.25">
      <c r="A185" s="14">
        <v>184</v>
      </c>
      <c r="B185" s="15">
        <v>63001703</v>
      </c>
      <c r="C185" s="16" t="s">
        <v>332</v>
      </c>
      <c r="D185" s="16" t="s">
        <v>171</v>
      </c>
      <c r="E185" s="14" t="s">
        <v>155</v>
      </c>
      <c r="F185" s="15"/>
      <c r="G185" s="15">
        <v>945836001144</v>
      </c>
      <c r="H185" s="18">
        <v>46135</v>
      </c>
      <c r="I185" s="18">
        <v>46119</v>
      </c>
      <c r="J185" s="18">
        <v>46126</v>
      </c>
      <c r="K185" s="18">
        <v>46127</v>
      </c>
      <c r="L185" s="15">
        <v>8</v>
      </c>
      <c r="M185" s="14" t="s">
        <v>19</v>
      </c>
      <c r="N185" s="14" t="s">
        <v>157</v>
      </c>
      <c r="O185" s="20" t="s">
        <v>542</v>
      </c>
    </row>
    <row r="186" spans="1:15" ht="15.75" x14ac:dyDescent="0.25">
      <c r="A186" s="14">
        <v>185</v>
      </c>
      <c r="B186" s="15">
        <v>63010990</v>
      </c>
      <c r="C186" s="16" t="s">
        <v>255</v>
      </c>
      <c r="D186" s="16" t="s">
        <v>247</v>
      </c>
      <c r="E186" s="14" t="s">
        <v>155</v>
      </c>
      <c r="F186" s="15">
        <v>20</v>
      </c>
      <c r="G186" s="15">
        <v>22671003660</v>
      </c>
      <c r="H186" s="18">
        <v>46135</v>
      </c>
      <c r="I186" s="18">
        <v>46131</v>
      </c>
      <c r="J186" s="18">
        <v>46131</v>
      </c>
      <c r="K186" s="18">
        <v>46132</v>
      </c>
      <c r="L186" s="15">
        <v>1</v>
      </c>
      <c r="M186" s="14" t="s">
        <v>19</v>
      </c>
      <c r="N186" s="14" t="s">
        <v>157</v>
      </c>
      <c r="O186" s="20" t="s">
        <v>542</v>
      </c>
    </row>
    <row r="187" spans="1:15" ht="15.75" x14ac:dyDescent="0.25">
      <c r="A187" s="14">
        <v>186</v>
      </c>
      <c r="B187" s="15">
        <v>63001827</v>
      </c>
      <c r="C187" s="16" t="s">
        <v>179</v>
      </c>
      <c r="D187" s="16" t="s">
        <v>178</v>
      </c>
      <c r="E187" s="14" t="s">
        <v>155</v>
      </c>
      <c r="F187" s="15">
        <v>20</v>
      </c>
      <c r="G187" s="15">
        <v>670466005048</v>
      </c>
      <c r="H187" s="18">
        <v>46135</v>
      </c>
      <c r="I187" s="18">
        <v>46129</v>
      </c>
      <c r="J187" s="18">
        <v>46130</v>
      </c>
      <c r="K187" s="18">
        <v>46131</v>
      </c>
      <c r="L187" s="15">
        <v>2</v>
      </c>
      <c r="M187" s="14" t="s">
        <v>19</v>
      </c>
      <c r="N187" s="14" t="s">
        <v>157</v>
      </c>
      <c r="O187" s="20" t="s">
        <v>542</v>
      </c>
    </row>
    <row r="188" spans="1:15" ht="15.75" x14ac:dyDescent="0.25">
      <c r="A188" s="14">
        <v>187</v>
      </c>
      <c r="B188" s="15">
        <v>63001696</v>
      </c>
      <c r="C188" s="16" t="s">
        <v>216</v>
      </c>
      <c r="D188" s="16" t="s">
        <v>217</v>
      </c>
      <c r="E188" s="14" t="s">
        <v>155</v>
      </c>
      <c r="F188" s="15">
        <v>18</v>
      </c>
      <c r="G188" s="15">
        <v>941693002143</v>
      </c>
      <c r="H188" s="18">
        <v>46135</v>
      </c>
      <c r="I188" s="18">
        <v>46127</v>
      </c>
      <c r="J188" s="18">
        <v>46127</v>
      </c>
      <c r="K188" s="18">
        <v>46128</v>
      </c>
      <c r="L188" s="15">
        <v>1</v>
      </c>
      <c r="M188" s="14" t="s">
        <v>19</v>
      </c>
      <c r="N188" s="14" t="s">
        <v>157</v>
      </c>
      <c r="O188" s="20" t="s">
        <v>542</v>
      </c>
    </row>
    <row r="189" spans="1:15" ht="15.75" x14ac:dyDescent="0.25">
      <c r="A189" s="14">
        <v>188</v>
      </c>
      <c r="B189" s="15">
        <v>63001860</v>
      </c>
      <c r="C189" s="16" t="s">
        <v>405</v>
      </c>
      <c r="D189" s="16" t="s">
        <v>334</v>
      </c>
      <c r="E189" s="14" t="s">
        <v>161</v>
      </c>
      <c r="F189" s="15"/>
      <c r="G189" s="15">
        <v>722502001268</v>
      </c>
      <c r="H189" s="18">
        <v>46135</v>
      </c>
      <c r="I189" s="18">
        <v>46132</v>
      </c>
      <c r="J189" s="18">
        <v>46141</v>
      </c>
      <c r="K189" s="18">
        <v>46142</v>
      </c>
      <c r="L189" s="15">
        <v>10</v>
      </c>
      <c r="M189" s="14" t="s">
        <v>19</v>
      </c>
      <c r="N189" s="14" t="s">
        <v>157</v>
      </c>
      <c r="O189" s="20" t="s">
        <v>542</v>
      </c>
    </row>
    <row r="190" spans="1:15" ht="15.75" x14ac:dyDescent="0.25">
      <c r="A190" s="14">
        <v>189</v>
      </c>
      <c r="B190" s="15">
        <v>63001661</v>
      </c>
      <c r="C190" s="16" t="s">
        <v>335</v>
      </c>
      <c r="D190" s="16" t="s">
        <v>336</v>
      </c>
      <c r="E190" s="14" t="s">
        <v>161</v>
      </c>
      <c r="F190" s="15"/>
      <c r="G190" s="15">
        <v>930084039037</v>
      </c>
      <c r="H190" s="18">
        <v>46135</v>
      </c>
      <c r="I190" s="18">
        <v>46127</v>
      </c>
      <c r="J190" s="18">
        <v>46127</v>
      </c>
      <c r="K190" s="18">
        <v>46128</v>
      </c>
      <c r="L190" s="15">
        <v>1</v>
      </c>
      <c r="M190" s="14" t="s">
        <v>19</v>
      </c>
      <c r="N190" s="14" t="s">
        <v>157</v>
      </c>
      <c r="O190" s="20" t="s">
        <v>542</v>
      </c>
    </row>
    <row r="191" spans="1:15" ht="15.75" x14ac:dyDescent="0.25">
      <c r="A191" s="14">
        <v>190</v>
      </c>
      <c r="B191" s="15">
        <v>63001823</v>
      </c>
      <c r="C191" s="16" t="s">
        <v>224</v>
      </c>
      <c r="D191" s="16" t="s">
        <v>225</v>
      </c>
      <c r="E191" s="14" t="s">
        <v>155</v>
      </c>
      <c r="F191" s="15"/>
      <c r="G191" s="15">
        <v>923199001538</v>
      </c>
      <c r="H191" s="18">
        <v>46135</v>
      </c>
      <c r="I191" s="18">
        <v>46131</v>
      </c>
      <c r="J191" s="18">
        <v>46131</v>
      </c>
      <c r="K191" s="18">
        <v>46132</v>
      </c>
      <c r="L191" s="15">
        <v>1</v>
      </c>
      <c r="M191" s="14" t="s">
        <v>19</v>
      </c>
      <c r="N191" s="14" t="s">
        <v>157</v>
      </c>
      <c r="O191" s="20" t="s">
        <v>542</v>
      </c>
    </row>
    <row r="192" spans="1:15" ht="15.75" x14ac:dyDescent="0.25">
      <c r="A192" s="14">
        <v>191</v>
      </c>
      <c r="B192" s="15">
        <v>63001793</v>
      </c>
      <c r="C192" s="16" t="s">
        <v>240</v>
      </c>
      <c r="D192" s="16" t="s">
        <v>176</v>
      </c>
      <c r="E192" s="14" t="s">
        <v>155</v>
      </c>
      <c r="F192" s="15"/>
      <c r="G192" s="15">
        <v>950235009144</v>
      </c>
      <c r="H192" s="18">
        <v>46135</v>
      </c>
      <c r="I192" s="18">
        <v>46190</v>
      </c>
      <c r="J192" s="18">
        <v>46190</v>
      </c>
      <c r="K192" s="18">
        <v>46190</v>
      </c>
      <c r="L192" s="15">
        <v>1</v>
      </c>
      <c r="M192" s="14" t="s">
        <v>19</v>
      </c>
      <c r="N192" s="14" t="s">
        <v>157</v>
      </c>
      <c r="O192" s="20" t="s">
        <v>542</v>
      </c>
    </row>
    <row r="193" spans="1:15" ht="15.75" x14ac:dyDescent="0.25">
      <c r="A193" s="14">
        <v>192</v>
      </c>
      <c r="B193" s="15">
        <v>63001793</v>
      </c>
      <c r="C193" s="16" t="s">
        <v>240</v>
      </c>
      <c r="D193" s="16" t="s">
        <v>176</v>
      </c>
      <c r="E193" s="14" t="s">
        <v>155</v>
      </c>
      <c r="F193" s="15"/>
      <c r="G193" s="15">
        <v>950235009144</v>
      </c>
      <c r="H193" s="18">
        <v>46135</v>
      </c>
      <c r="I193" s="18">
        <v>46127</v>
      </c>
      <c r="J193" s="18">
        <v>46128</v>
      </c>
      <c r="K193" s="18">
        <v>46190</v>
      </c>
      <c r="L193" s="15">
        <v>2</v>
      </c>
      <c r="M193" s="14" t="s">
        <v>19</v>
      </c>
      <c r="N193" s="14" t="s">
        <v>157</v>
      </c>
      <c r="O193" s="20" t="s">
        <v>542</v>
      </c>
    </row>
    <row r="194" spans="1:15" ht="15.75" x14ac:dyDescent="0.25">
      <c r="A194" s="14">
        <v>193</v>
      </c>
      <c r="B194" s="15">
        <v>63001337</v>
      </c>
      <c r="C194" s="16" t="s">
        <v>188</v>
      </c>
      <c r="D194" s="16" t="s">
        <v>189</v>
      </c>
      <c r="E194" s="14" t="s">
        <v>161</v>
      </c>
      <c r="F194" s="15">
        <v>22</v>
      </c>
      <c r="G194" s="15">
        <v>890042008543</v>
      </c>
      <c r="H194" s="18">
        <v>46135</v>
      </c>
      <c r="I194" s="18">
        <v>46134</v>
      </c>
      <c r="J194" s="18">
        <v>46163</v>
      </c>
      <c r="K194" s="18">
        <v>46164</v>
      </c>
      <c r="L194" s="15">
        <v>30</v>
      </c>
      <c r="M194" s="14" t="s">
        <v>19</v>
      </c>
      <c r="N194" s="14" t="s">
        <v>165</v>
      </c>
      <c r="O194" s="20" t="s">
        <v>542</v>
      </c>
    </row>
    <row r="195" spans="1:15" ht="15.75" x14ac:dyDescent="0.25">
      <c r="A195" s="14">
        <v>194</v>
      </c>
      <c r="B195" s="15">
        <v>63037003</v>
      </c>
      <c r="C195" s="16" t="s">
        <v>263</v>
      </c>
      <c r="D195" s="16" t="s">
        <v>171</v>
      </c>
      <c r="E195" s="14" t="s">
        <v>155</v>
      </c>
      <c r="F195" s="15"/>
      <c r="G195" s="15">
        <v>20629005365</v>
      </c>
      <c r="H195" s="18">
        <v>46135</v>
      </c>
      <c r="I195" s="18">
        <v>46131</v>
      </c>
      <c r="J195" s="18">
        <v>46131</v>
      </c>
      <c r="K195" s="18">
        <v>46132</v>
      </c>
      <c r="L195" s="15">
        <v>1</v>
      </c>
      <c r="M195" s="14" t="s">
        <v>19</v>
      </c>
      <c r="N195" s="14" t="s">
        <v>157</v>
      </c>
      <c r="O195" s="20" t="s">
        <v>542</v>
      </c>
    </row>
    <row r="196" spans="1:15" ht="15.75" x14ac:dyDescent="0.25">
      <c r="A196" s="14">
        <v>195</v>
      </c>
      <c r="B196" s="15">
        <v>63001698</v>
      </c>
      <c r="C196" s="16" t="s">
        <v>182</v>
      </c>
      <c r="D196" s="16" t="s">
        <v>183</v>
      </c>
      <c r="E196" s="14" t="s">
        <v>161</v>
      </c>
      <c r="F196" s="15"/>
      <c r="G196" s="15">
        <v>910461009738</v>
      </c>
      <c r="H196" s="18">
        <v>46142</v>
      </c>
      <c r="I196" s="18">
        <v>46134</v>
      </c>
      <c r="J196" s="18">
        <v>46134</v>
      </c>
      <c r="K196" s="18">
        <v>46196</v>
      </c>
      <c r="L196" s="15">
        <v>1</v>
      </c>
      <c r="M196" s="14" t="s">
        <v>19</v>
      </c>
      <c r="N196" s="14" t="s">
        <v>157</v>
      </c>
      <c r="O196" s="20" t="s">
        <v>542</v>
      </c>
    </row>
    <row r="197" spans="1:15" ht="15.75" x14ac:dyDescent="0.25">
      <c r="A197" s="14">
        <v>196</v>
      </c>
      <c r="B197" s="15">
        <v>63030548</v>
      </c>
      <c r="C197" s="16" t="s">
        <v>208</v>
      </c>
      <c r="D197" s="16" t="s">
        <v>209</v>
      </c>
      <c r="E197" s="14" t="s">
        <v>155</v>
      </c>
      <c r="F197" s="15">
        <v>20</v>
      </c>
      <c r="G197" s="15">
        <v>951020010564</v>
      </c>
      <c r="H197" s="18">
        <v>46142</v>
      </c>
      <c r="I197" s="18">
        <v>46140</v>
      </c>
      <c r="J197" s="18">
        <v>46140</v>
      </c>
      <c r="K197" s="18">
        <v>46141</v>
      </c>
      <c r="L197" s="15">
        <v>1</v>
      </c>
      <c r="M197" s="14" t="s">
        <v>19</v>
      </c>
      <c r="N197" s="14" t="s">
        <v>157</v>
      </c>
      <c r="O197" s="20" t="s">
        <v>542</v>
      </c>
    </row>
    <row r="198" spans="1:15" ht="15.75" x14ac:dyDescent="0.25">
      <c r="A198" s="14">
        <v>197</v>
      </c>
      <c r="B198" s="15">
        <v>63001860</v>
      </c>
      <c r="C198" s="16" t="s">
        <v>405</v>
      </c>
      <c r="D198" s="16" t="s">
        <v>334</v>
      </c>
      <c r="E198" s="14" t="s">
        <v>161</v>
      </c>
      <c r="F198" s="15"/>
      <c r="G198" s="15">
        <v>722502001268</v>
      </c>
      <c r="H198" s="18">
        <v>46142</v>
      </c>
      <c r="I198" s="18">
        <v>46142</v>
      </c>
      <c r="J198" s="18">
        <v>46162</v>
      </c>
      <c r="K198" s="18">
        <v>46163</v>
      </c>
      <c r="L198" s="15">
        <v>21</v>
      </c>
      <c r="M198" s="14" t="s">
        <v>19</v>
      </c>
      <c r="N198" s="14" t="s">
        <v>157</v>
      </c>
      <c r="O198" s="20" t="s">
        <v>542</v>
      </c>
    </row>
    <row r="199" spans="1:15" ht="15.75" x14ac:dyDescent="0.25">
      <c r="A199" s="14">
        <v>198</v>
      </c>
      <c r="B199" s="15">
        <v>63001827</v>
      </c>
      <c r="C199" s="16" t="s">
        <v>179</v>
      </c>
      <c r="D199" s="16" t="s">
        <v>178</v>
      </c>
      <c r="E199" s="14" t="s">
        <v>155</v>
      </c>
      <c r="F199" s="15">
        <v>20</v>
      </c>
      <c r="G199" s="15">
        <v>670466005048</v>
      </c>
      <c r="H199" s="18">
        <v>46142</v>
      </c>
      <c r="I199" s="18">
        <v>46137</v>
      </c>
      <c r="J199" s="18">
        <v>46138</v>
      </c>
      <c r="K199" s="18">
        <v>46139</v>
      </c>
      <c r="L199" s="15">
        <v>2</v>
      </c>
      <c r="M199" s="14" t="s">
        <v>19</v>
      </c>
      <c r="N199" s="14" t="s">
        <v>157</v>
      </c>
      <c r="O199" s="20" t="s">
        <v>542</v>
      </c>
    </row>
    <row r="200" spans="1:15" ht="15.75" x14ac:dyDescent="0.25">
      <c r="A200" s="14">
        <v>199</v>
      </c>
      <c r="B200" s="15">
        <v>63001702</v>
      </c>
      <c r="C200" s="16" t="s">
        <v>338</v>
      </c>
      <c r="D200" s="16" t="s">
        <v>339</v>
      </c>
      <c r="E200" s="14"/>
      <c r="F200" s="15">
        <v>23</v>
      </c>
      <c r="G200" s="15">
        <v>920099035930</v>
      </c>
      <c r="H200" s="18">
        <v>46142</v>
      </c>
      <c r="I200" s="18">
        <v>46137</v>
      </c>
      <c r="J200" s="18">
        <v>46167</v>
      </c>
      <c r="K200" s="18">
        <v>46168</v>
      </c>
      <c r="L200" s="15">
        <v>31</v>
      </c>
      <c r="M200" s="14" t="s">
        <v>19</v>
      </c>
      <c r="N200" s="14" t="s">
        <v>157</v>
      </c>
      <c r="O200" s="20" t="s">
        <v>542</v>
      </c>
    </row>
    <row r="201" spans="1:15" ht="15.75" x14ac:dyDescent="0.25">
      <c r="A201" s="14">
        <v>200</v>
      </c>
      <c r="B201" s="15">
        <v>63001949</v>
      </c>
      <c r="C201" s="16" t="s">
        <v>337</v>
      </c>
      <c r="D201" s="16" t="s">
        <v>236</v>
      </c>
      <c r="E201" s="14" t="s">
        <v>161</v>
      </c>
      <c r="F201" s="15"/>
      <c r="G201" s="15">
        <v>782628002546</v>
      </c>
      <c r="H201" s="18">
        <v>46142</v>
      </c>
      <c r="I201" s="18">
        <v>46141</v>
      </c>
      <c r="J201" s="18">
        <v>46230</v>
      </c>
      <c r="K201" s="18">
        <v>46231</v>
      </c>
      <c r="L201" s="15">
        <v>90</v>
      </c>
      <c r="M201" s="14" t="s">
        <v>19</v>
      </c>
      <c r="N201" s="14" t="s">
        <v>157</v>
      </c>
      <c r="O201" s="20" t="s">
        <v>542</v>
      </c>
    </row>
    <row r="202" spans="1:15" ht="15.75" x14ac:dyDescent="0.25">
      <c r="A202" s="14">
        <v>201</v>
      </c>
      <c r="B202" s="15">
        <v>63001903</v>
      </c>
      <c r="C202" s="16" t="s">
        <v>184</v>
      </c>
      <c r="D202" s="16" t="s">
        <v>185</v>
      </c>
      <c r="E202" s="14" t="s">
        <v>161</v>
      </c>
      <c r="F202" s="15">
        <v>21</v>
      </c>
      <c r="G202" s="15">
        <v>748614000152</v>
      </c>
      <c r="H202" s="18">
        <v>46142</v>
      </c>
      <c r="I202" s="18">
        <v>46137</v>
      </c>
      <c r="J202" s="18">
        <v>46138</v>
      </c>
      <c r="K202" s="18">
        <v>46139</v>
      </c>
      <c r="L202" s="15">
        <v>2</v>
      </c>
      <c r="M202" s="14" t="s">
        <v>19</v>
      </c>
      <c r="N202" s="14" t="s">
        <v>157</v>
      </c>
      <c r="O202" s="20" t="s">
        <v>542</v>
      </c>
    </row>
    <row r="203" spans="1:15" ht="15.75" x14ac:dyDescent="0.25">
      <c r="A203" s="14">
        <v>202</v>
      </c>
      <c r="B203" s="15">
        <v>63001785</v>
      </c>
      <c r="C203" s="16" t="s">
        <v>340</v>
      </c>
      <c r="D203" s="16" t="s">
        <v>247</v>
      </c>
      <c r="E203" s="14"/>
      <c r="F203" s="15"/>
      <c r="G203" s="15">
        <v>958531000345</v>
      </c>
      <c r="H203" s="18">
        <v>46142</v>
      </c>
      <c r="I203" s="18">
        <v>46141</v>
      </c>
      <c r="J203" s="18">
        <v>46170</v>
      </c>
      <c r="K203" s="18">
        <v>46171</v>
      </c>
      <c r="L203" s="15">
        <v>30</v>
      </c>
      <c r="M203" s="14" t="s">
        <v>19</v>
      </c>
      <c r="N203" s="14" t="s">
        <v>157</v>
      </c>
      <c r="O203" s="20" t="s">
        <v>542</v>
      </c>
    </row>
    <row r="204" spans="1:15" ht="15.75" x14ac:dyDescent="0.25">
      <c r="A204" s="14">
        <v>203</v>
      </c>
      <c r="B204" s="15">
        <v>63001788</v>
      </c>
      <c r="C204" s="16" t="s">
        <v>276</v>
      </c>
      <c r="D204" s="16" t="s">
        <v>277</v>
      </c>
      <c r="E204" s="14" t="s">
        <v>155</v>
      </c>
      <c r="F204" s="15">
        <v>18</v>
      </c>
      <c r="G204" s="15">
        <v>872863000445</v>
      </c>
      <c r="H204" s="18">
        <v>46142</v>
      </c>
      <c r="I204" s="18">
        <v>46142</v>
      </c>
      <c r="J204" s="18">
        <v>46171</v>
      </c>
      <c r="K204" s="18">
        <v>46172</v>
      </c>
      <c r="L204" s="15">
        <v>30</v>
      </c>
      <c r="M204" s="14" t="s">
        <v>19</v>
      </c>
      <c r="N204" s="14" t="s">
        <v>165</v>
      </c>
      <c r="O204" s="20" t="s">
        <v>542</v>
      </c>
    </row>
    <row r="205" spans="1:15" ht="15.75" x14ac:dyDescent="0.25">
      <c r="A205" s="14">
        <v>204</v>
      </c>
      <c r="B205" s="15">
        <v>63036929</v>
      </c>
      <c r="C205" s="16" t="s">
        <v>341</v>
      </c>
      <c r="D205" s="16" t="s">
        <v>272</v>
      </c>
      <c r="E205" s="14" t="s">
        <v>161</v>
      </c>
      <c r="F205" s="15"/>
      <c r="G205" s="15">
        <v>950719007836</v>
      </c>
      <c r="H205" s="18">
        <v>46142</v>
      </c>
      <c r="I205" s="18">
        <v>46116</v>
      </c>
      <c r="J205" s="18">
        <v>46118</v>
      </c>
      <c r="K205" s="18">
        <v>46119</v>
      </c>
      <c r="L205" s="15">
        <v>3</v>
      </c>
      <c r="M205" s="14" t="s">
        <v>19</v>
      </c>
      <c r="N205" s="14" t="s">
        <v>157</v>
      </c>
      <c r="O205" s="20" t="s">
        <v>542</v>
      </c>
    </row>
    <row r="206" spans="1:15" ht="15.75" x14ac:dyDescent="0.25">
      <c r="A206" s="14">
        <v>205</v>
      </c>
      <c r="B206" s="15">
        <v>63036934</v>
      </c>
      <c r="C206" s="16" t="s">
        <v>343</v>
      </c>
      <c r="D206" s="16" t="s">
        <v>344</v>
      </c>
      <c r="E206" s="14" t="s">
        <v>161</v>
      </c>
      <c r="F206" s="15"/>
      <c r="G206" s="15">
        <v>17901000173</v>
      </c>
      <c r="H206" s="18">
        <v>46142</v>
      </c>
      <c r="I206" s="18">
        <v>46141</v>
      </c>
      <c r="J206" s="18">
        <v>46141</v>
      </c>
      <c r="K206" s="18">
        <v>46142</v>
      </c>
      <c r="L206" s="15">
        <v>1</v>
      </c>
      <c r="M206" s="14" t="s">
        <v>19</v>
      </c>
      <c r="N206" s="14" t="s">
        <v>157</v>
      </c>
      <c r="O206" s="20" t="s">
        <v>542</v>
      </c>
    </row>
    <row r="207" spans="1:15" ht="15.75" x14ac:dyDescent="0.25">
      <c r="A207" s="14">
        <v>206</v>
      </c>
      <c r="B207" s="15">
        <v>63001827</v>
      </c>
      <c r="C207" s="16" t="s">
        <v>179</v>
      </c>
      <c r="D207" s="16" t="s">
        <v>178</v>
      </c>
      <c r="E207" s="14" t="s">
        <v>155</v>
      </c>
      <c r="F207" s="15">
        <v>20</v>
      </c>
      <c r="G207" s="15">
        <v>670466005048</v>
      </c>
      <c r="H207" s="18">
        <v>46148</v>
      </c>
      <c r="I207" s="18">
        <v>46145</v>
      </c>
      <c r="J207" s="18">
        <v>46146</v>
      </c>
      <c r="K207" s="18">
        <v>46147</v>
      </c>
      <c r="L207" s="15">
        <v>2</v>
      </c>
      <c r="M207" s="14" t="s">
        <v>19</v>
      </c>
      <c r="N207" s="14" t="s">
        <v>157</v>
      </c>
      <c r="O207" s="20" t="s">
        <v>542</v>
      </c>
    </row>
    <row r="208" spans="1:15" ht="15.75" x14ac:dyDescent="0.25">
      <c r="A208" s="14">
        <v>207</v>
      </c>
      <c r="B208" s="15">
        <v>63001500</v>
      </c>
      <c r="C208" s="16" t="s">
        <v>186</v>
      </c>
      <c r="D208" s="16" t="s">
        <v>187</v>
      </c>
      <c r="E208" s="14" t="s">
        <v>155</v>
      </c>
      <c r="F208" s="15">
        <v>20</v>
      </c>
      <c r="G208" s="15">
        <v>850409004354</v>
      </c>
      <c r="H208" s="18">
        <v>46148</v>
      </c>
      <c r="I208" s="18">
        <v>46145</v>
      </c>
      <c r="J208" s="18">
        <v>46147</v>
      </c>
      <c r="K208" s="18">
        <v>46148</v>
      </c>
      <c r="L208" s="15">
        <v>3</v>
      </c>
      <c r="M208" s="14" t="s">
        <v>19</v>
      </c>
      <c r="N208" s="14" t="s">
        <v>157</v>
      </c>
      <c r="O208" s="20" t="s">
        <v>542</v>
      </c>
    </row>
    <row r="209" spans="1:15" ht="15.75" x14ac:dyDescent="0.25">
      <c r="A209" s="14">
        <v>208</v>
      </c>
      <c r="B209" s="15">
        <v>63001410</v>
      </c>
      <c r="C209" s="16" t="s">
        <v>347</v>
      </c>
      <c r="D209" s="16" t="s">
        <v>189</v>
      </c>
      <c r="E209" s="14" t="s">
        <v>155</v>
      </c>
      <c r="F209" s="15"/>
      <c r="G209" s="15">
        <v>850281028536</v>
      </c>
      <c r="H209" s="18">
        <v>46148</v>
      </c>
      <c r="I209" s="18">
        <v>46143</v>
      </c>
      <c r="J209" s="18">
        <v>46145</v>
      </c>
      <c r="K209" s="18">
        <v>46146</v>
      </c>
      <c r="L209" s="15">
        <v>3</v>
      </c>
      <c r="M209" s="14" t="s">
        <v>19</v>
      </c>
      <c r="N209" s="14" t="s">
        <v>157</v>
      </c>
      <c r="O209" s="20" t="s">
        <v>542</v>
      </c>
    </row>
    <row r="210" spans="1:15" ht="15.75" x14ac:dyDescent="0.25">
      <c r="A210" s="14">
        <v>209</v>
      </c>
      <c r="B210" s="15">
        <v>63001523</v>
      </c>
      <c r="C210" s="16" t="s">
        <v>348</v>
      </c>
      <c r="D210" s="16" t="s">
        <v>346</v>
      </c>
      <c r="E210" s="14" t="s">
        <v>161</v>
      </c>
      <c r="F210" s="15"/>
      <c r="G210" s="15">
        <v>880197033337</v>
      </c>
      <c r="H210" s="18">
        <v>46148</v>
      </c>
      <c r="I210" s="18">
        <v>46145</v>
      </c>
      <c r="J210" s="18">
        <v>46146</v>
      </c>
      <c r="K210" s="18">
        <v>46147</v>
      </c>
      <c r="L210" s="15">
        <v>2</v>
      </c>
      <c r="M210" s="14" t="s">
        <v>19</v>
      </c>
      <c r="N210" s="14" t="s">
        <v>157</v>
      </c>
      <c r="O210" s="20" t="s">
        <v>542</v>
      </c>
    </row>
    <row r="211" spans="1:15" ht="15.75" x14ac:dyDescent="0.25">
      <c r="A211" s="14">
        <v>210</v>
      </c>
      <c r="B211" s="15">
        <v>63001623</v>
      </c>
      <c r="C211" s="16" t="s">
        <v>200</v>
      </c>
      <c r="D211" s="16" t="s">
        <v>201</v>
      </c>
      <c r="E211" s="14" t="s">
        <v>161</v>
      </c>
      <c r="F211" s="15">
        <v>21</v>
      </c>
      <c r="G211" s="15">
        <v>921526006446</v>
      </c>
      <c r="H211" s="18">
        <v>46148</v>
      </c>
      <c r="I211" s="18">
        <v>46147</v>
      </c>
      <c r="J211" s="18">
        <v>46149</v>
      </c>
      <c r="K211" s="18">
        <v>46150</v>
      </c>
      <c r="L211" s="15">
        <v>3</v>
      </c>
      <c r="M211" s="14" t="s">
        <v>19</v>
      </c>
      <c r="N211" s="14" t="s">
        <v>157</v>
      </c>
      <c r="O211" s="20" t="s">
        <v>542</v>
      </c>
    </row>
    <row r="212" spans="1:15" ht="15.75" x14ac:dyDescent="0.25">
      <c r="A212" s="14">
        <v>211</v>
      </c>
      <c r="B212" s="15">
        <v>63001582</v>
      </c>
      <c r="C212" s="16" t="s">
        <v>349</v>
      </c>
      <c r="D212" s="16" t="s">
        <v>328</v>
      </c>
      <c r="E212" s="14" t="s">
        <v>155</v>
      </c>
      <c r="F212" s="15"/>
      <c r="G212" s="15">
        <v>900708008446</v>
      </c>
      <c r="H212" s="18">
        <v>46148</v>
      </c>
      <c r="I212" s="18">
        <v>46145</v>
      </c>
      <c r="J212" s="18">
        <v>46146</v>
      </c>
      <c r="K212" s="18">
        <v>46147</v>
      </c>
      <c r="L212" s="15">
        <v>2</v>
      </c>
      <c r="M212" s="14" t="s">
        <v>19</v>
      </c>
      <c r="N212" s="14" t="s">
        <v>157</v>
      </c>
      <c r="O212" s="20" t="s">
        <v>542</v>
      </c>
    </row>
    <row r="213" spans="1:15" ht="15.75" x14ac:dyDescent="0.25">
      <c r="A213" s="14">
        <v>212</v>
      </c>
      <c r="B213" s="15">
        <v>63001706</v>
      </c>
      <c r="C213" s="16" t="s">
        <v>374</v>
      </c>
      <c r="D213" s="16" t="s">
        <v>199</v>
      </c>
      <c r="E213" s="14" t="s">
        <v>161</v>
      </c>
      <c r="F213" s="15"/>
      <c r="G213" s="15">
        <v>935371000842</v>
      </c>
      <c r="H213" s="18">
        <v>46148</v>
      </c>
      <c r="I213" s="18">
        <v>46143</v>
      </c>
      <c r="J213" s="18">
        <v>46172</v>
      </c>
      <c r="K213" s="18">
        <v>46173</v>
      </c>
      <c r="L213" s="15">
        <v>30</v>
      </c>
      <c r="M213" s="14" t="s">
        <v>19</v>
      </c>
      <c r="N213" s="14" t="s">
        <v>157</v>
      </c>
      <c r="O213" s="20" t="s">
        <v>542</v>
      </c>
    </row>
    <row r="214" spans="1:15" ht="15.75" x14ac:dyDescent="0.25">
      <c r="A214" s="14">
        <v>213</v>
      </c>
      <c r="B214" s="15">
        <v>63001351</v>
      </c>
      <c r="C214" s="16" t="s">
        <v>222</v>
      </c>
      <c r="D214" s="16" t="s">
        <v>223</v>
      </c>
      <c r="E214" s="14" t="s">
        <v>155</v>
      </c>
      <c r="F214" s="15">
        <v>20</v>
      </c>
      <c r="G214" s="15">
        <v>930119003357</v>
      </c>
      <c r="H214" s="18">
        <v>46148</v>
      </c>
      <c r="I214" s="18">
        <v>46140</v>
      </c>
      <c r="J214" s="18">
        <v>46142</v>
      </c>
      <c r="K214" s="18">
        <v>46143</v>
      </c>
      <c r="L214" s="15">
        <v>3</v>
      </c>
      <c r="M214" s="14" t="s">
        <v>19</v>
      </c>
      <c r="N214" s="14" t="s">
        <v>157</v>
      </c>
      <c r="O214" s="20" t="s">
        <v>542</v>
      </c>
    </row>
    <row r="215" spans="1:15" ht="15.75" x14ac:dyDescent="0.25">
      <c r="A215" s="14">
        <v>214</v>
      </c>
      <c r="B215" s="15">
        <v>63010876</v>
      </c>
      <c r="C215" s="16" t="s">
        <v>350</v>
      </c>
      <c r="D215" s="16" t="s">
        <v>351</v>
      </c>
      <c r="E215" s="14" t="s">
        <v>161</v>
      </c>
      <c r="F215" s="15"/>
      <c r="G215" s="15">
        <v>715919000450</v>
      </c>
      <c r="H215" s="18">
        <v>46148</v>
      </c>
      <c r="I215" s="18">
        <v>46141</v>
      </c>
      <c r="J215" s="18">
        <v>46142</v>
      </c>
      <c r="K215" s="18">
        <v>46143</v>
      </c>
      <c r="L215" s="15">
        <v>2</v>
      </c>
      <c r="M215" s="14" t="s">
        <v>19</v>
      </c>
      <c r="N215" s="14" t="s">
        <v>157</v>
      </c>
      <c r="O215" s="20" t="s">
        <v>542</v>
      </c>
    </row>
    <row r="216" spans="1:15" ht="15.75" x14ac:dyDescent="0.25">
      <c r="A216" s="14">
        <v>215</v>
      </c>
      <c r="B216" s="15">
        <v>63036995</v>
      </c>
      <c r="C216" s="16" t="s">
        <v>352</v>
      </c>
      <c r="D216" s="16" t="s">
        <v>247</v>
      </c>
      <c r="E216" s="14" t="s">
        <v>155</v>
      </c>
      <c r="F216" s="15"/>
      <c r="G216" s="15">
        <v>33638000862</v>
      </c>
      <c r="H216" s="18">
        <v>46148</v>
      </c>
      <c r="I216" s="18">
        <v>46140</v>
      </c>
      <c r="J216" s="18">
        <v>46142</v>
      </c>
      <c r="K216" s="18">
        <v>46143</v>
      </c>
      <c r="L216" s="15">
        <v>3</v>
      </c>
      <c r="M216" s="14" t="s">
        <v>19</v>
      </c>
      <c r="N216" s="14" t="s">
        <v>157</v>
      </c>
      <c r="O216" s="20" t="s">
        <v>542</v>
      </c>
    </row>
    <row r="217" spans="1:15" ht="15.75" x14ac:dyDescent="0.25">
      <c r="A217" s="14">
        <v>216</v>
      </c>
      <c r="B217" s="15">
        <v>63013336</v>
      </c>
      <c r="C217" s="16" t="s">
        <v>353</v>
      </c>
      <c r="D217" s="16" t="s">
        <v>354</v>
      </c>
      <c r="E217" s="14" t="s">
        <v>161</v>
      </c>
      <c r="F217" s="15"/>
      <c r="G217" s="15">
        <v>910566004346</v>
      </c>
      <c r="H217" s="18">
        <v>46148</v>
      </c>
      <c r="I217" s="18">
        <v>46147</v>
      </c>
      <c r="J217" s="18">
        <v>46149</v>
      </c>
      <c r="K217" s="18">
        <v>46150</v>
      </c>
      <c r="L217" s="15">
        <v>3</v>
      </c>
      <c r="M217" s="14" t="s">
        <v>19</v>
      </c>
      <c r="N217" s="14" t="s">
        <v>157</v>
      </c>
      <c r="O217" s="20" t="s">
        <v>542</v>
      </c>
    </row>
    <row r="218" spans="1:15" ht="15.75" x14ac:dyDescent="0.25">
      <c r="A218" s="14">
        <v>217</v>
      </c>
      <c r="B218" s="15">
        <v>63001681</v>
      </c>
      <c r="C218" s="16" t="s">
        <v>355</v>
      </c>
      <c r="D218" s="16" t="s">
        <v>356</v>
      </c>
      <c r="E218" s="14" t="s">
        <v>161</v>
      </c>
      <c r="F218" s="15"/>
      <c r="G218" s="15">
        <v>910688004933</v>
      </c>
      <c r="H218" s="18">
        <v>46148</v>
      </c>
      <c r="I218" s="18">
        <v>46146</v>
      </c>
      <c r="J218" s="18">
        <v>46146</v>
      </c>
      <c r="K218" s="18">
        <v>46147</v>
      </c>
      <c r="L218" s="15">
        <v>1</v>
      </c>
      <c r="M218" s="14" t="s">
        <v>19</v>
      </c>
      <c r="N218" s="14" t="s">
        <v>157</v>
      </c>
      <c r="O218" s="20" t="s">
        <v>542</v>
      </c>
    </row>
    <row r="219" spans="1:15" ht="15.75" x14ac:dyDescent="0.25">
      <c r="A219" s="14">
        <v>218</v>
      </c>
      <c r="B219" s="15">
        <v>63037004</v>
      </c>
      <c r="C219" s="16" t="s">
        <v>237</v>
      </c>
      <c r="D219" s="16" t="s">
        <v>171</v>
      </c>
      <c r="E219" s="14" t="s">
        <v>155</v>
      </c>
      <c r="F219" s="15"/>
      <c r="G219" s="15">
        <v>30234025963</v>
      </c>
      <c r="H219" s="18">
        <v>46148</v>
      </c>
      <c r="I219" s="18">
        <v>46149</v>
      </c>
      <c r="J219" s="18">
        <v>46149</v>
      </c>
      <c r="K219" s="18">
        <v>46150</v>
      </c>
      <c r="L219" s="15">
        <v>1</v>
      </c>
      <c r="M219" s="14" t="s">
        <v>19</v>
      </c>
      <c r="N219" s="14" t="s">
        <v>157</v>
      </c>
      <c r="O219" s="20" t="s">
        <v>542</v>
      </c>
    </row>
    <row r="220" spans="1:15" ht="15.75" x14ac:dyDescent="0.25">
      <c r="A220" s="14">
        <v>219</v>
      </c>
      <c r="B220" s="15">
        <v>63001523</v>
      </c>
      <c r="C220" s="16" t="s">
        <v>348</v>
      </c>
      <c r="D220" s="16" t="s">
        <v>346</v>
      </c>
      <c r="E220" s="14" t="s">
        <v>161</v>
      </c>
      <c r="F220" s="15"/>
      <c r="G220" s="15">
        <v>880197033337</v>
      </c>
      <c r="H220" s="18">
        <v>46149</v>
      </c>
      <c r="I220" s="18">
        <v>46147</v>
      </c>
      <c r="J220" s="18">
        <v>46147</v>
      </c>
      <c r="K220" s="18">
        <v>46148</v>
      </c>
      <c r="L220" s="15">
        <v>1</v>
      </c>
      <c r="M220" s="14" t="s">
        <v>19</v>
      </c>
      <c r="N220" s="14" t="s">
        <v>157</v>
      </c>
      <c r="O220" s="20" t="s">
        <v>542</v>
      </c>
    </row>
    <row r="221" spans="1:15" ht="15.75" x14ac:dyDescent="0.25">
      <c r="A221" s="14">
        <v>220</v>
      </c>
      <c r="B221" s="15">
        <v>63001414</v>
      </c>
      <c r="C221" s="16" t="s">
        <v>239</v>
      </c>
      <c r="D221" s="16" t="s">
        <v>176</v>
      </c>
      <c r="E221" s="14" t="s">
        <v>155</v>
      </c>
      <c r="F221" s="15">
        <v>20</v>
      </c>
      <c r="G221" s="15">
        <v>891357004638</v>
      </c>
      <c r="H221" s="18">
        <v>46149</v>
      </c>
      <c r="I221" s="18">
        <v>46149</v>
      </c>
      <c r="J221" s="18">
        <v>46178</v>
      </c>
      <c r="K221" s="18">
        <v>46179</v>
      </c>
      <c r="L221" s="15">
        <v>30</v>
      </c>
      <c r="M221" s="14" t="s">
        <v>19</v>
      </c>
      <c r="N221" s="14" t="s">
        <v>157</v>
      </c>
      <c r="O221" s="20" t="s">
        <v>542</v>
      </c>
    </row>
    <row r="222" spans="1:15" ht="15.75" x14ac:dyDescent="0.25">
      <c r="A222" s="14">
        <v>221</v>
      </c>
      <c r="B222" s="15">
        <v>63036917</v>
      </c>
      <c r="C222" s="16" t="s">
        <v>357</v>
      </c>
      <c r="D222" s="16" t="s">
        <v>178</v>
      </c>
      <c r="E222" s="14" t="s">
        <v>155</v>
      </c>
      <c r="F222" s="15"/>
      <c r="G222" s="15">
        <v>20430006273</v>
      </c>
      <c r="H222" s="18">
        <v>46149</v>
      </c>
      <c r="I222" s="18">
        <v>46147</v>
      </c>
      <c r="J222" s="18">
        <v>46147</v>
      </c>
      <c r="K222" s="18">
        <v>46148</v>
      </c>
      <c r="L222" s="15">
        <v>1</v>
      </c>
      <c r="M222" s="14" t="s">
        <v>19</v>
      </c>
      <c r="N222" s="14" t="s">
        <v>157</v>
      </c>
      <c r="O222" s="20" t="s">
        <v>542</v>
      </c>
    </row>
    <row r="223" spans="1:15" ht="15.75" x14ac:dyDescent="0.25">
      <c r="A223" s="14">
        <v>222</v>
      </c>
      <c r="B223" s="15">
        <v>63001716</v>
      </c>
      <c r="C223" s="16" t="s">
        <v>253</v>
      </c>
      <c r="D223" s="16" t="s">
        <v>254</v>
      </c>
      <c r="E223" s="14" t="s">
        <v>155</v>
      </c>
      <c r="F223" s="15">
        <v>18</v>
      </c>
      <c r="G223" s="15">
        <v>953136001550</v>
      </c>
      <c r="H223" s="18">
        <v>46152</v>
      </c>
      <c r="I223" s="18">
        <v>46149</v>
      </c>
      <c r="J223" s="18">
        <v>46149</v>
      </c>
      <c r="K223" s="18">
        <v>46150</v>
      </c>
      <c r="L223" s="15">
        <v>1</v>
      </c>
      <c r="M223" s="14" t="s">
        <v>19</v>
      </c>
      <c r="N223" s="14" t="s">
        <v>157</v>
      </c>
      <c r="O223" s="20" t="s">
        <v>542</v>
      </c>
    </row>
    <row r="224" spans="1:15" ht="15.75" x14ac:dyDescent="0.25">
      <c r="A224" s="14">
        <v>223</v>
      </c>
      <c r="B224" s="15">
        <v>63001873</v>
      </c>
      <c r="C224" s="16" t="s">
        <v>358</v>
      </c>
      <c r="D224" s="16" t="s">
        <v>359</v>
      </c>
      <c r="E224" s="14" t="s">
        <v>161</v>
      </c>
      <c r="F224" s="15"/>
      <c r="G224" s="15">
        <v>725088000643</v>
      </c>
      <c r="H224" s="18">
        <v>46152</v>
      </c>
      <c r="I224" s="18">
        <v>46150</v>
      </c>
      <c r="J224" s="18">
        <v>46150</v>
      </c>
      <c r="K224" s="18">
        <v>46151</v>
      </c>
      <c r="L224" s="15">
        <v>1</v>
      </c>
      <c r="M224" s="14" t="s">
        <v>19</v>
      </c>
      <c r="N224" s="14" t="s">
        <v>157</v>
      </c>
      <c r="O224" s="20" t="s">
        <v>542</v>
      </c>
    </row>
    <row r="225" spans="1:15" ht="15.75" x14ac:dyDescent="0.25">
      <c r="A225" s="14">
        <v>224</v>
      </c>
      <c r="B225" s="15">
        <v>63001356</v>
      </c>
      <c r="C225" s="16" t="s">
        <v>360</v>
      </c>
      <c r="D225" s="16" t="s">
        <v>361</v>
      </c>
      <c r="E225" s="14" t="s">
        <v>161</v>
      </c>
      <c r="F225" s="15"/>
      <c r="G225" s="15">
        <v>847224000352</v>
      </c>
      <c r="H225" s="18">
        <v>46152</v>
      </c>
      <c r="I225" s="18">
        <v>46152</v>
      </c>
      <c r="J225" s="18">
        <v>46159</v>
      </c>
      <c r="K225" s="18">
        <v>46160</v>
      </c>
      <c r="L225" s="15">
        <v>8</v>
      </c>
      <c r="M225" s="14" t="s">
        <v>19</v>
      </c>
      <c r="N225" s="14" t="s">
        <v>157</v>
      </c>
      <c r="O225" s="20" t="s">
        <v>542</v>
      </c>
    </row>
    <row r="226" spans="1:15" ht="15.75" x14ac:dyDescent="0.25">
      <c r="A226" s="14">
        <v>225</v>
      </c>
      <c r="B226" s="15">
        <v>63001351</v>
      </c>
      <c r="C226" s="16" t="s">
        <v>222</v>
      </c>
      <c r="D226" s="16" t="s">
        <v>223</v>
      </c>
      <c r="E226" s="14" t="s">
        <v>155</v>
      </c>
      <c r="F226" s="15">
        <v>20</v>
      </c>
      <c r="G226" s="15">
        <v>930119003357</v>
      </c>
      <c r="H226" s="18">
        <v>46153</v>
      </c>
      <c r="I226" s="18">
        <v>46152</v>
      </c>
      <c r="J226" s="18">
        <v>46166</v>
      </c>
      <c r="K226" s="18">
        <v>46167</v>
      </c>
      <c r="L226" s="15">
        <v>15</v>
      </c>
      <c r="M226" s="14" t="s">
        <v>19</v>
      </c>
      <c r="N226" s="14" t="s">
        <v>157</v>
      </c>
      <c r="O226" s="20" t="s">
        <v>542</v>
      </c>
    </row>
    <row r="227" spans="1:15" ht="15.75" x14ac:dyDescent="0.25">
      <c r="A227" s="14">
        <v>226</v>
      </c>
      <c r="B227" s="15">
        <v>63001563</v>
      </c>
      <c r="C227" s="16" t="s">
        <v>311</v>
      </c>
      <c r="D227" s="16" t="s">
        <v>199</v>
      </c>
      <c r="E227" s="14" t="s">
        <v>161</v>
      </c>
      <c r="F227" s="15"/>
      <c r="G227" s="15">
        <v>920314016552</v>
      </c>
      <c r="H227" s="18">
        <v>46153</v>
      </c>
      <c r="I227" s="18">
        <v>46151</v>
      </c>
      <c r="J227" s="18">
        <v>46153</v>
      </c>
      <c r="K227" s="18">
        <v>46154</v>
      </c>
      <c r="L227" s="15">
        <v>3</v>
      </c>
      <c r="M227" s="14" t="s">
        <v>19</v>
      </c>
      <c r="N227" s="14" t="s">
        <v>157</v>
      </c>
      <c r="O227" s="20" t="s">
        <v>542</v>
      </c>
    </row>
    <row r="228" spans="1:15" ht="15.75" x14ac:dyDescent="0.25">
      <c r="A228" s="14">
        <v>227</v>
      </c>
      <c r="B228" s="15">
        <v>63001518</v>
      </c>
      <c r="C228" s="16" t="s">
        <v>256</v>
      </c>
      <c r="D228" s="16" t="s">
        <v>257</v>
      </c>
      <c r="E228" s="14" t="s">
        <v>155</v>
      </c>
      <c r="F228" s="15"/>
      <c r="G228" s="15">
        <v>920651011653</v>
      </c>
      <c r="H228" s="18">
        <v>46153</v>
      </c>
      <c r="I228" s="18">
        <v>46152</v>
      </c>
      <c r="J228" s="18">
        <v>46154</v>
      </c>
      <c r="K228" s="18">
        <v>46155</v>
      </c>
      <c r="L228" s="15">
        <v>3</v>
      </c>
      <c r="M228" s="14" t="s">
        <v>19</v>
      </c>
      <c r="N228" s="14" t="s">
        <v>157</v>
      </c>
      <c r="O228" s="20" t="s">
        <v>542</v>
      </c>
    </row>
    <row r="229" spans="1:15" ht="15.75" x14ac:dyDescent="0.25">
      <c r="A229" s="14">
        <v>228</v>
      </c>
      <c r="B229" s="15">
        <v>63001564</v>
      </c>
      <c r="C229" s="16" t="s">
        <v>232</v>
      </c>
      <c r="D229" s="16" t="s">
        <v>178</v>
      </c>
      <c r="E229" s="14" t="s">
        <v>155</v>
      </c>
      <c r="F229" s="15"/>
      <c r="G229" s="15">
        <v>899924000138</v>
      </c>
      <c r="H229" s="18">
        <v>46154</v>
      </c>
      <c r="I229" s="18">
        <v>46152</v>
      </c>
      <c r="J229" s="18">
        <v>46152</v>
      </c>
      <c r="K229" s="18">
        <v>46153</v>
      </c>
      <c r="L229" s="15">
        <v>1</v>
      </c>
      <c r="M229" s="14" t="s">
        <v>19</v>
      </c>
      <c r="N229" s="14" t="s">
        <v>157</v>
      </c>
      <c r="O229" s="20" t="s">
        <v>542</v>
      </c>
    </row>
    <row r="230" spans="1:15" ht="15.75" x14ac:dyDescent="0.25">
      <c r="A230" s="14">
        <v>229</v>
      </c>
      <c r="B230" s="15">
        <v>63001459</v>
      </c>
      <c r="C230" s="16" t="s">
        <v>202</v>
      </c>
      <c r="D230" s="16" t="s">
        <v>203</v>
      </c>
      <c r="E230" s="14" t="s">
        <v>155</v>
      </c>
      <c r="F230" s="15">
        <v>20</v>
      </c>
      <c r="G230" s="15">
        <v>910027029049</v>
      </c>
      <c r="H230" s="18">
        <v>46154</v>
      </c>
      <c r="I230" s="18">
        <v>46153</v>
      </c>
      <c r="J230" s="18">
        <v>46153</v>
      </c>
      <c r="K230" s="18">
        <v>46154</v>
      </c>
      <c r="L230" s="15">
        <v>1</v>
      </c>
      <c r="M230" s="14" t="s">
        <v>19</v>
      </c>
      <c r="N230" s="14" t="s">
        <v>157</v>
      </c>
      <c r="O230" s="20" t="s">
        <v>542</v>
      </c>
    </row>
    <row r="231" spans="1:15" ht="15.75" x14ac:dyDescent="0.25">
      <c r="A231" s="14">
        <v>230</v>
      </c>
      <c r="B231" s="15">
        <v>63036962</v>
      </c>
      <c r="C231" s="16" t="s">
        <v>274</v>
      </c>
      <c r="D231" s="16" t="s">
        <v>275</v>
      </c>
      <c r="E231" s="14" t="s">
        <v>161</v>
      </c>
      <c r="F231" s="15"/>
      <c r="G231" s="15">
        <v>970096007630</v>
      </c>
      <c r="H231" s="18">
        <v>46159</v>
      </c>
      <c r="I231" s="18">
        <v>46156</v>
      </c>
      <c r="J231" s="18">
        <v>46156</v>
      </c>
      <c r="K231" s="18">
        <v>46157</v>
      </c>
      <c r="L231" s="15">
        <v>1</v>
      </c>
      <c r="M231" s="14" t="s">
        <v>19</v>
      </c>
      <c r="N231" s="14" t="s">
        <v>157</v>
      </c>
      <c r="O231" s="20" t="s">
        <v>542</v>
      </c>
    </row>
    <row r="232" spans="1:15" ht="15.75" x14ac:dyDescent="0.25">
      <c r="A232" s="14">
        <v>231</v>
      </c>
      <c r="B232" s="15">
        <v>63001472</v>
      </c>
      <c r="C232" s="16" t="s">
        <v>175</v>
      </c>
      <c r="D232" s="16" t="s">
        <v>176</v>
      </c>
      <c r="E232" s="14" t="s">
        <v>155</v>
      </c>
      <c r="F232" s="15">
        <v>20</v>
      </c>
      <c r="G232" s="15">
        <v>880683011641</v>
      </c>
      <c r="H232" s="18">
        <v>46159</v>
      </c>
      <c r="I232" s="18">
        <v>46158</v>
      </c>
      <c r="J232" s="18">
        <v>46202</v>
      </c>
      <c r="K232" s="18">
        <v>46203</v>
      </c>
      <c r="L232" s="15">
        <v>45</v>
      </c>
      <c r="M232" s="14" t="s">
        <v>19</v>
      </c>
      <c r="N232" s="14" t="s">
        <v>165</v>
      </c>
      <c r="O232" s="20" t="s">
        <v>542</v>
      </c>
    </row>
    <row r="233" spans="1:15" ht="15.75" x14ac:dyDescent="0.25">
      <c r="A233" s="14">
        <v>232</v>
      </c>
      <c r="B233" s="15">
        <v>63001493</v>
      </c>
      <c r="C233" s="16" t="s">
        <v>172</v>
      </c>
      <c r="D233" s="16" t="s">
        <v>173</v>
      </c>
      <c r="E233" s="14" t="s">
        <v>161</v>
      </c>
      <c r="F233" s="15"/>
      <c r="G233" s="15">
        <v>822591003344</v>
      </c>
      <c r="H233" s="18">
        <v>46161</v>
      </c>
      <c r="I233" s="18">
        <v>46159</v>
      </c>
      <c r="J233" s="18">
        <v>46159</v>
      </c>
      <c r="K233" s="18">
        <v>46160</v>
      </c>
      <c r="L233" s="15">
        <v>1</v>
      </c>
      <c r="M233" s="14" t="s">
        <v>19</v>
      </c>
      <c r="N233" s="14" t="s">
        <v>157</v>
      </c>
      <c r="O233" s="20" t="s">
        <v>542</v>
      </c>
    </row>
    <row r="234" spans="1:15" ht="15.75" x14ac:dyDescent="0.25">
      <c r="A234" s="14">
        <v>233</v>
      </c>
      <c r="B234" s="15">
        <v>63001356</v>
      </c>
      <c r="C234" s="16" t="s">
        <v>360</v>
      </c>
      <c r="D234" s="16" t="s">
        <v>361</v>
      </c>
      <c r="E234" s="14" t="s">
        <v>161</v>
      </c>
      <c r="F234" s="15"/>
      <c r="G234" s="15">
        <v>847224000352</v>
      </c>
      <c r="H234" s="18">
        <v>46161</v>
      </c>
      <c r="I234" s="18">
        <v>46160</v>
      </c>
      <c r="J234" s="18" t="s">
        <v>406</v>
      </c>
      <c r="K234" s="18">
        <v>46168</v>
      </c>
      <c r="L234" s="15">
        <v>8</v>
      </c>
      <c r="M234" s="14" t="s">
        <v>19</v>
      </c>
      <c r="N234" s="14" t="s">
        <v>157</v>
      </c>
      <c r="O234" s="20" t="s">
        <v>542</v>
      </c>
    </row>
    <row r="235" spans="1:15" ht="15.75" x14ac:dyDescent="0.25">
      <c r="A235" s="14">
        <v>234</v>
      </c>
      <c r="B235" s="15">
        <v>63001636</v>
      </c>
      <c r="C235" s="16" t="s">
        <v>362</v>
      </c>
      <c r="D235" s="16" t="s">
        <v>363</v>
      </c>
      <c r="E235" s="14" t="s">
        <v>161</v>
      </c>
      <c r="F235" s="15"/>
      <c r="G235" s="15">
        <v>900264014054</v>
      </c>
      <c r="H235" s="18">
        <v>46152</v>
      </c>
      <c r="I235" s="18">
        <v>46145</v>
      </c>
      <c r="J235" s="18">
        <v>46159</v>
      </c>
      <c r="K235" s="18">
        <v>46160</v>
      </c>
      <c r="L235" s="15">
        <v>15</v>
      </c>
      <c r="M235" s="14" t="s">
        <v>19</v>
      </c>
      <c r="N235" s="14" t="s">
        <v>157</v>
      </c>
      <c r="O235" s="20" t="s">
        <v>542</v>
      </c>
    </row>
    <row r="236" spans="1:15" ht="15.75" x14ac:dyDescent="0.25">
      <c r="A236" s="14">
        <v>235</v>
      </c>
      <c r="B236" s="15">
        <v>63001636</v>
      </c>
      <c r="C236" s="16" t="s">
        <v>362</v>
      </c>
      <c r="D236" s="16" t="s">
        <v>363</v>
      </c>
      <c r="E236" s="14" t="s">
        <v>161</v>
      </c>
      <c r="F236" s="15"/>
      <c r="G236" s="15">
        <v>900264014054</v>
      </c>
      <c r="H236" s="18">
        <v>46161</v>
      </c>
      <c r="I236" s="18">
        <v>46160</v>
      </c>
      <c r="J236" s="18">
        <v>46174</v>
      </c>
      <c r="K236" s="18">
        <v>46175</v>
      </c>
      <c r="L236" s="15">
        <v>15</v>
      </c>
      <c r="M236" s="14" t="s">
        <v>19</v>
      </c>
      <c r="N236" s="14" t="s">
        <v>157</v>
      </c>
      <c r="O236" s="20" t="s">
        <v>542</v>
      </c>
    </row>
    <row r="237" spans="1:15" ht="15.75" x14ac:dyDescent="0.25">
      <c r="A237" s="14">
        <v>236</v>
      </c>
      <c r="B237" s="15">
        <v>63043576</v>
      </c>
      <c r="C237" s="16" t="s">
        <v>288</v>
      </c>
      <c r="D237" s="16"/>
      <c r="E237" s="14"/>
      <c r="F237" s="15"/>
      <c r="G237" s="15">
        <v>21623001872</v>
      </c>
      <c r="H237" s="18">
        <v>46161</v>
      </c>
      <c r="I237" s="18">
        <v>46159</v>
      </c>
      <c r="J237" s="18">
        <v>46159</v>
      </c>
      <c r="K237" s="18">
        <v>46160</v>
      </c>
      <c r="L237" s="15">
        <v>1</v>
      </c>
      <c r="M237" s="14" t="s">
        <v>19</v>
      </c>
      <c r="N237" s="14" t="s">
        <v>157</v>
      </c>
      <c r="O237" s="20" t="s">
        <v>542</v>
      </c>
    </row>
    <row r="238" spans="1:15" ht="15.75" x14ac:dyDescent="0.25">
      <c r="A238" s="14">
        <v>237</v>
      </c>
      <c r="B238" s="15">
        <v>63001537</v>
      </c>
      <c r="C238" s="16" t="s">
        <v>331</v>
      </c>
      <c r="D238" s="16" t="s">
        <v>167</v>
      </c>
      <c r="E238" s="14" t="s">
        <v>161</v>
      </c>
      <c r="F238" s="15"/>
      <c r="G238" s="15">
        <v>870155038339</v>
      </c>
      <c r="H238" s="18">
        <v>46161</v>
      </c>
      <c r="I238" s="18">
        <v>46160</v>
      </c>
      <c r="J238" s="18">
        <v>46160</v>
      </c>
      <c r="K238" s="18">
        <v>46161</v>
      </c>
      <c r="L238" s="15">
        <v>1</v>
      </c>
      <c r="M238" s="14" t="s">
        <v>19</v>
      </c>
      <c r="N238" s="14" t="s">
        <v>157</v>
      </c>
      <c r="O238" s="20" t="s">
        <v>542</v>
      </c>
    </row>
    <row r="239" spans="1:15" ht="15.75" x14ac:dyDescent="0.25">
      <c r="A239" s="14">
        <v>238</v>
      </c>
      <c r="B239" s="15">
        <v>63001364</v>
      </c>
      <c r="C239" s="16" t="s">
        <v>364</v>
      </c>
      <c r="D239" s="16" t="s">
        <v>365</v>
      </c>
      <c r="E239" s="14" t="s">
        <v>155</v>
      </c>
      <c r="F239" s="15"/>
      <c r="G239" s="15">
        <v>840593011842</v>
      </c>
      <c r="H239" s="18">
        <v>46162</v>
      </c>
      <c r="I239" s="18">
        <v>46161</v>
      </c>
      <c r="J239" s="18">
        <v>46161</v>
      </c>
      <c r="K239" s="18">
        <v>46162</v>
      </c>
      <c r="L239" s="15">
        <v>1</v>
      </c>
      <c r="M239" s="14" t="s">
        <v>19</v>
      </c>
      <c r="N239" s="14" t="s">
        <v>157</v>
      </c>
      <c r="O239" s="20" t="s">
        <v>542</v>
      </c>
    </row>
    <row r="240" spans="1:15" ht="15.75" x14ac:dyDescent="0.25">
      <c r="A240" s="14">
        <v>239</v>
      </c>
      <c r="B240" s="15">
        <v>63013900</v>
      </c>
      <c r="C240" s="16" t="s">
        <v>366</v>
      </c>
      <c r="D240" s="16" t="s">
        <v>367</v>
      </c>
      <c r="E240" s="14" t="s">
        <v>161</v>
      </c>
      <c r="F240" s="15"/>
      <c r="G240" s="15">
        <v>846141000255</v>
      </c>
      <c r="H240" s="18">
        <v>46162</v>
      </c>
      <c r="I240" s="18">
        <v>46162</v>
      </c>
      <c r="J240" s="18">
        <v>46163</v>
      </c>
      <c r="K240" s="18">
        <v>46164</v>
      </c>
      <c r="L240" s="15">
        <v>2</v>
      </c>
      <c r="M240" s="14" t="s">
        <v>19</v>
      </c>
      <c r="N240" s="14" t="s">
        <v>157</v>
      </c>
      <c r="O240" s="20" t="s">
        <v>542</v>
      </c>
    </row>
    <row r="241" spans="1:15" ht="15.75" x14ac:dyDescent="0.25">
      <c r="A241" s="14">
        <v>240</v>
      </c>
      <c r="B241" s="15">
        <v>63001889</v>
      </c>
      <c r="C241" s="16" t="s">
        <v>233</v>
      </c>
      <c r="D241" s="16" t="s">
        <v>234</v>
      </c>
      <c r="E241" s="14" t="s">
        <v>161</v>
      </c>
      <c r="F241" s="15">
        <v>24</v>
      </c>
      <c r="G241" s="15">
        <v>710821004261</v>
      </c>
      <c r="H241" s="18">
        <v>46163</v>
      </c>
      <c r="I241" s="18">
        <v>46160</v>
      </c>
      <c r="J241" s="18">
        <v>46162</v>
      </c>
      <c r="K241" s="18">
        <v>46163</v>
      </c>
      <c r="L241" s="15">
        <v>3</v>
      </c>
      <c r="M241" s="14" t="s">
        <v>19</v>
      </c>
      <c r="N241" s="14" t="s">
        <v>157</v>
      </c>
      <c r="O241" s="20" t="s">
        <v>542</v>
      </c>
    </row>
    <row r="242" spans="1:15" ht="15.75" x14ac:dyDescent="0.25">
      <c r="A242" s="14">
        <v>241</v>
      </c>
      <c r="B242" s="15">
        <v>63001827</v>
      </c>
      <c r="C242" s="16" t="s">
        <v>179</v>
      </c>
      <c r="D242" s="16" t="s">
        <v>178</v>
      </c>
      <c r="E242" s="14" t="s">
        <v>155</v>
      </c>
      <c r="F242" s="15">
        <v>20</v>
      </c>
      <c r="G242" s="15">
        <v>670466005048</v>
      </c>
      <c r="H242" s="18">
        <v>46159</v>
      </c>
      <c r="I242" s="18">
        <v>46153</v>
      </c>
      <c r="J242" s="18">
        <v>46154</v>
      </c>
      <c r="K242" s="18">
        <v>46155</v>
      </c>
      <c r="L242" s="15">
        <v>2</v>
      </c>
      <c r="M242" s="14" t="s">
        <v>19</v>
      </c>
      <c r="N242" s="14" t="s">
        <v>157</v>
      </c>
      <c r="O242" s="20" t="s">
        <v>542</v>
      </c>
    </row>
    <row r="243" spans="1:15" ht="15.75" x14ac:dyDescent="0.25">
      <c r="A243" s="14">
        <v>242</v>
      </c>
      <c r="B243" s="15">
        <v>63001563</v>
      </c>
      <c r="C243" s="16" t="s">
        <v>311</v>
      </c>
      <c r="D243" s="16" t="s">
        <v>199</v>
      </c>
      <c r="E243" s="14" t="s">
        <v>161</v>
      </c>
      <c r="F243" s="15"/>
      <c r="G243" s="15">
        <v>920314016552</v>
      </c>
      <c r="H243" s="18">
        <v>46159</v>
      </c>
      <c r="I243" s="18">
        <v>46159</v>
      </c>
      <c r="J243" s="18">
        <v>46173</v>
      </c>
      <c r="K243" s="18">
        <v>46174</v>
      </c>
      <c r="L243" s="15">
        <v>15</v>
      </c>
      <c r="M243" s="14" t="s">
        <v>19</v>
      </c>
      <c r="N243" s="14" t="s">
        <v>157</v>
      </c>
      <c r="O243" s="20" t="s">
        <v>542</v>
      </c>
    </row>
    <row r="244" spans="1:15" ht="15.75" x14ac:dyDescent="0.25">
      <c r="A244" s="14">
        <v>243</v>
      </c>
      <c r="B244" s="15">
        <v>63001641</v>
      </c>
      <c r="C244" s="16" t="s">
        <v>368</v>
      </c>
      <c r="D244" s="16" t="s">
        <v>369</v>
      </c>
      <c r="E244" s="14" t="s">
        <v>155</v>
      </c>
      <c r="F244" s="15"/>
      <c r="G244" s="15">
        <v>932408003551</v>
      </c>
      <c r="H244" s="18">
        <v>46163</v>
      </c>
      <c r="I244" s="18">
        <v>46162</v>
      </c>
      <c r="J244" s="18">
        <v>46163</v>
      </c>
      <c r="K244" s="18">
        <v>46164</v>
      </c>
      <c r="L244" s="15">
        <v>2</v>
      </c>
      <c r="M244" s="14" t="s">
        <v>19</v>
      </c>
      <c r="N244" s="14" t="s">
        <v>157</v>
      </c>
      <c r="O244" s="20" t="s">
        <v>542</v>
      </c>
    </row>
    <row r="245" spans="1:15" ht="15.75" x14ac:dyDescent="0.25">
      <c r="A245" s="14">
        <v>244</v>
      </c>
      <c r="B245" s="15">
        <v>63001718</v>
      </c>
      <c r="C245" s="16" t="s">
        <v>248</v>
      </c>
      <c r="D245" s="16" t="s">
        <v>249</v>
      </c>
      <c r="E245" s="14" t="s">
        <v>155</v>
      </c>
      <c r="F245" s="15"/>
      <c r="G245" s="15">
        <v>920121037452</v>
      </c>
      <c r="H245" s="18">
        <v>46173</v>
      </c>
      <c r="I245" s="18">
        <v>46167</v>
      </c>
      <c r="J245" s="18">
        <v>46167</v>
      </c>
      <c r="K245" s="18">
        <v>46168</v>
      </c>
      <c r="L245" s="15">
        <v>1</v>
      </c>
      <c r="M245" s="14" t="s">
        <v>19</v>
      </c>
      <c r="N245" s="14" t="s">
        <v>157</v>
      </c>
      <c r="O245" s="20" t="s">
        <v>542</v>
      </c>
    </row>
    <row r="246" spans="1:15" ht="15.75" x14ac:dyDescent="0.25">
      <c r="A246" s="14">
        <v>245</v>
      </c>
      <c r="B246" s="15">
        <v>63001804</v>
      </c>
      <c r="C246" s="16" t="s">
        <v>321</v>
      </c>
      <c r="D246" s="16" t="s">
        <v>176</v>
      </c>
      <c r="E246" s="14" t="s">
        <v>155</v>
      </c>
      <c r="F246" s="15"/>
      <c r="G246" s="15">
        <v>965484000635</v>
      </c>
      <c r="H246" s="18">
        <v>46173</v>
      </c>
      <c r="I246" s="18">
        <v>46166</v>
      </c>
      <c r="J246" s="18">
        <v>46166</v>
      </c>
      <c r="K246" s="18">
        <v>46167</v>
      </c>
      <c r="L246" s="15">
        <v>1</v>
      </c>
      <c r="M246" s="14" t="s">
        <v>19</v>
      </c>
      <c r="N246" s="14" t="s">
        <v>157</v>
      </c>
      <c r="O246" s="20" t="s">
        <v>542</v>
      </c>
    </row>
    <row r="247" spans="1:15" ht="15.75" x14ac:dyDescent="0.25">
      <c r="A247" s="14">
        <v>246</v>
      </c>
      <c r="B247" s="15">
        <v>63001698</v>
      </c>
      <c r="C247" s="16" t="s">
        <v>182</v>
      </c>
      <c r="D247" s="16" t="s">
        <v>183</v>
      </c>
      <c r="E247" s="14" t="s">
        <v>161</v>
      </c>
      <c r="F247" s="15">
        <v>22</v>
      </c>
      <c r="G247" s="15">
        <v>910461009738</v>
      </c>
      <c r="H247" s="18">
        <v>46173</v>
      </c>
      <c r="I247" s="18" t="s">
        <v>397</v>
      </c>
      <c r="J247" s="18" t="s">
        <v>398</v>
      </c>
      <c r="K247" s="18" t="s">
        <v>399</v>
      </c>
      <c r="L247" s="15">
        <v>17</v>
      </c>
      <c r="M247" s="14" t="s">
        <v>19</v>
      </c>
      <c r="N247" s="14" t="s">
        <v>165</v>
      </c>
      <c r="O247" s="20"/>
    </row>
    <row r="248" spans="1:15" ht="15.75" x14ac:dyDescent="0.25">
      <c r="A248" s="14">
        <v>247</v>
      </c>
      <c r="B248" s="15">
        <v>63001827</v>
      </c>
      <c r="C248" s="16" t="s">
        <v>179</v>
      </c>
      <c r="D248" s="16" t="s">
        <v>178</v>
      </c>
      <c r="E248" s="14" t="s">
        <v>155</v>
      </c>
      <c r="F248" s="15">
        <v>20</v>
      </c>
      <c r="G248" s="15">
        <v>670466005048</v>
      </c>
      <c r="H248" s="18">
        <v>46173</v>
      </c>
      <c r="I248" s="18" t="s">
        <v>407</v>
      </c>
      <c r="J248" s="18" t="s">
        <v>408</v>
      </c>
      <c r="K248" s="18" t="s">
        <v>391</v>
      </c>
      <c r="L248" s="15">
        <v>2</v>
      </c>
      <c r="M248" s="14" t="s">
        <v>19</v>
      </c>
      <c r="N248" s="14" t="s">
        <v>157</v>
      </c>
      <c r="O248" s="20"/>
    </row>
    <row r="249" spans="1:15" ht="15.75" x14ac:dyDescent="0.25">
      <c r="A249" s="14">
        <v>248</v>
      </c>
      <c r="B249" s="15">
        <v>63036953</v>
      </c>
      <c r="C249" s="16" t="s">
        <v>370</v>
      </c>
      <c r="D249" s="16" t="s">
        <v>371</v>
      </c>
      <c r="E249" s="14" t="s">
        <v>161</v>
      </c>
      <c r="F249" s="15"/>
      <c r="G249" s="15">
        <v>1752004268</v>
      </c>
      <c r="H249" s="18" t="s">
        <v>409</v>
      </c>
      <c r="I249" s="18" t="s">
        <v>409</v>
      </c>
      <c r="J249" s="18" t="s">
        <v>410</v>
      </c>
      <c r="K249" s="18" t="s">
        <v>411</v>
      </c>
      <c r="L249" s="15">
        <v>3</v>
      </c>
      <c r="M249" s="14" t="s">
        <v>19</v>
      </c>
      <c r="N249" s="14" t="s">
        <v>157</v>
      </c>
      <c r="O249" s="20"/>
    </row>
    <row r="250" spans="1:15" ht="15.75" x14ac:dyDescent="0.25">
      <c r="A250" s="14">
        <v>249</v>
      </c>
      <c r="B250" s="15">
        <v>63001860</v>
      </c>
      <c r="C250" s="16" t="s">
        <v>333</v>
      </c>
      <c r="D250" s="16" t="s">
        <v>372</v>
      </c>
      <c r="E250" s="14" t="s">
        <v>161</v>
      </c>
      <c r="F250" s="15"/>
      <c r="G250" s="15">
        <v>722502001268</v>
      </c>
      <c r="H250" s="18"/>
      <c r="I250" s="18" t="s">
        <v>391</v>
      </c>
      <c r="J250" s="18" t="s">
        <v>392</v>
      </c>
      <c r="K250" s="18" t="s">
        <v>393</v>
      </c>
      <c r="L250" s="15">
        <v>15</v>
      </c>
      <c r="M250" s="14" t="s">
        <v>19</v>
      </c>
      <c r="N250" s="14" t="s">
        <v>165</v>
      </c>
      <c r="O250" s="20"/>
    </row>
    <row r="251" spans="1:15" ht="15.75" x14ac:dyDescent="0.25">
      <c r="A251" s="14">
        <v>250</v>
      </c>
      <c r="B251" s="15">
        <v>63019931</v>
      </c>
      <c r="C251" s="16" t="s">
        <v>238</v>
      </c>
      <c r="D251" s="16" t="s">
        <v>171</v>
      </c>
      <c r="E251" s="14"/>
      <c r="F251" s="15">
        <v>20</v>
      </c>
      <c r="G251" s="15">
        <v>881316003551</v>
      </c>
      <c r="H251" s="18" t="s">
        <v>394</v>
      </c>
      <c r="I251" s="18" t="s">
        <v>411</v>
      </c>
      <c r="J251" s="18" t="s">
        <v>412</v>
      </c>
      <c r="K251" s="18" t="s">
        <v>413</v>
      </c>
      <c r="L251" s="15">
        <v>2</v>
      </c>
      <c r="M251" s="14" t="s">
        <v>19</v>
      </c>
      <c r="N251" s="14" t="s">
        <v>157</v>
      </c>
      <c r="O251" s="20" t="s">
        <v>542</v>
      </c>
    </row>
    <row r="252" spans="1:15" ht="15.75" x14ac:dyDescent="0.25">
      <c r="A252" s="14">
        <v>251</v>
      </c>
      <c r="B252" s="15">
        <v>63019931</v>
      </c>
      <c r="C252" s="16" t="s">
        <v>174</v>
      </c>
      <c r="D252" s="16" t="s">
        <v>171</v>
      </c>
      <c r="E252" s="14"/>
      <c r="F252" s="15"/>
      <c r="G252" s="15">
        <v>923190001646</v>
      </c>
      <c r="H252" s="18" t="s">
        <v>394</v>
      </c>
      <c r="I252" s="18" t="s">
        <v>388</v>
      </c>
      <c r="J252" s="18" t="s">
        <v>392</v>
      </c>
      <c r="K252" s="18" t="s">
        <v>393</v>
      </c>
      <c r="L252" s="15">
        <v>5</v>
      </c>
      <c r="M252" s="14" t="s">
        <v>19</v>
      </c>
      <c r="N252" s="14" t="s">
        <v>157</v>
      </c>
      <c r="O252" s="20" t="s">
        <v>542</v>
      </c>
    </row>
    <row r="253" spans="1:15" ht="15.75" x14ac:dyDescent="0.25">
      <c r="A253" s="14">
        <v>252</v>
      </c>
      <c r="B253" s="15">
        <v>63001351</v>
      </c>
      <c r="C253" s="16" t="s">
        <v>222</v>
      </c>
      <c r="D253" s="16" t="s">
        <v>223</v>
      </c>
      <c r="E253" s="14" t="s">
        <v>155</v>
      </c>
      <c r="F253" s="15">
        <v>20</v>
      </c>
      <c r="G253" s="15">
        <v>930119003357</v>
      </c>
      <c r="H253" s="18" t="s">
        <v>394</v>
      </c>
      <c r="I253" s="18" t="s">
        <v>388</v>
      </c>
      <c r="J253" s="18" t="s">
        <v>401</v>
      </c>
      <c r="K253" s="18" t="s">
        <v>403</v>
      </c>
      <c r="L253" s="15">
        <v>12</v>
      </c>
      <c r="M253" s="14" t="s">
        <v>19</v>
      </c>
      <c r="N253" s="14" t="s">
        <v>157</v>
      </c>
      <c r="O253" s="20" t="s">
        <v>542</v>
      </c>
    </row>
    <row r="254" spans="1:15" ht="15.75" x14ac:dyDescent="0.25">
      <c r="A254" s="14">
        <v>253</v>
      </c>
      <c r="B254" s="15">
        <v>63001827</v>
      </c>
      <c r="C254" s="16" t="s">
        <v>179</v>
      </c>
      <c r="D254" s="16" t="s">
        <v>178</v>
      </c>
      <c r="E254" s="14" t="s">
        <v>155</v>
      </c>
      <c r="F254" s="15">
        <v>20</v>
      </c>
      <c r="G254" s="15">
        <v>670466005048</v>
      </c>
      <c r="H254" s="18" t="s">
        <v>387</v>
      </c>
      <c r="I254" s="18" t="s">
        <v>411</v>
      </c>
      <c r="J254" s="18" t="s">
        <v>412</v>
      </c>
      <c r="K254" s="18" t="s">
        <v>413</v>
      </c>
      <c r="L254" s="15">
        <v>2</v>
      </c>
      <c r="M254" s="14" t="s">
        <v>19</v>
      </c>
      <c r="N254" s="14" t="s">
        <v>157</v>
      </c>
      <c r="O254" s="20" t="s">
        <v>542</v>
      </c>
    </row>
    <row r="255" spans="1:15" ht="15.75" x14ac:dyDescent="0.25">
      <c r="A255" s="14">
        <v>254</v>
      </c>
      <c r="B255" s="15">
        <v>63001688</v>
      </c>
      <c r="C255" s="16" t="s">
        <v>305</v>
      </c>
      <c r="D255" s="16" t="s">
        <v>306</v>
      </c>
      <c r="E255" s="14" t="s">
        <v>155</v>
      </c>
      <c r="F255" s="15"/>
      <c r="G255" s="15">
        <v>853341000654</v>
      </c>
      <c r="H255" s="18">
        <v>46176</v>
      </c>
      <c r="I255" s="18">
        <v>46152</v>
      </c>
      <c r="J255" s="18">
        <v>46152</v>
      </c>
      <c r="K255" s="18">
        <v>46153</v>
      </c>
      <c r="L255" s="15">
        <v>1</v>
      </c>
      <c r="M255" s="14" t="s">
        <v>19</v>
      </c>
      <c r="N255" s="14" t="s">
        <v>157</v>
      </c>
      <c r="O255" s="20" t="s">
        <v>542</v>
      </c>
    </row>
    <row r="256" spans="1:15" ht="15.75" x14ac:dyDescent="0.25">
      <c r="A256" s="14">
        <v>255</v>
      </c>
      <c r="B256" s="15">
        <v>63001785</v>
      </c>
      <c r="C256" s="16" t="s">
        <v>340</v>
      </c>
      <c r="D256" s="16" t="s">
        <v>247</v>
      </c>
      <c r="E256" s="14"/>
      <c r="F256" s="15"/>
      <c r="G256" s="15">
        <v>958531000345</v>
      </c>
      <c r="H256" s="18">
        <v>46176</v>
      </c>
      <c r="I256" s="18">
        <v>46174</v>
      </c>
      <c r="J256" s="18">
        <v>46203</v>
      </c>
      <c r="K256" s="18">
        <v>46204</v>
      </c>
      <c r="L256" s="15">
        <v>30</v>
      </c>
      <c r="M256" s="14" t="s">
        <v>19</v>
      </c>
      <c r="N256" s="14" t="s">
        <v>157</v>
      </c>
      <c r="O256" s="20" t="s">
        <v>542</v>
      </c>
    </row>
    <row r="257" spans="1:15" ht="15.75" x14ac:dyDescent="0.25">
      <c r="A257" s="14">
        <v>256</v>
      </c>
      <c r="B257" s="15">
        <v>63001706</v>
      </c>
      <c r="C257" s="16" t="s">
        <v>374</v>
      </c>
      <c r="D257" s="16" t="s">
        <v>199</v>
      </c>
      <c r="E257" s="14" t="s">
        <v>161</v>
      </c>
      <c r="F257" s="15"/>
      <c r="G257" s="15">
        <v>935371000842</v>
      </c>
      <c r="H257" s="18">
        <v>46148</v>
      </c>
      <c r="I257" s="18" t="s">
        <v>388</v>
      </c>
      <c r="J257" s="18">
        <v>46202</v>
      </c>
      <c r="K257" s="18">
        <v>46203</v>
      </c>
      <c r="L257" s="15">
        <v>30</v>
      </c>
      <c r="M257" s="14" t="s">
        <v>19</v>
      </c>
      <c r="N257" s="14" t="s">
        <v>157</v>
      </c>
      <c r="O257" s="20" t="s">
        <v>542</v>
      </c>
    </row>
    <row r="258" spans="1:15" ht="15.75" x14ac:dyDescent="0.25">
      <c r="A258" s="14">
        <v>257</v>
      </c>
      <c r="B258" s="15">
        <v>63001702</v>
      </c>
      <c r="C258" s="16" t="s">
        <v>338</v>
      </c>
      <c r="D258" s="16" t="s">
        <v>339</v>
      </c>
      <c r="E258" s="14"/>
      <c r="F258" s="15">
        <v>23</v>
      </c>
      <c r="G258" s="15">
        <v>920099035930</v>
      </c>
      <c r="H258" s="18" t="s">
        <v>414</v>
      </c>
      <c r="I258" s="18">
        <v>46167</v>
      </c>
      <c r="J258" s="18">
        <v>46256</v>
      </c>
      <c r="K258" s="18">
        <v>46257</v>
      </c>
      <c r="L258" s="15">
        <v>90</v>
      </c>
      <c r="M258" s="14" t="s">
        <v>19</v>
      </c>
      <c r="N258" s="14" t="s">
        <v>165</v>
      </c>
      <c r="O258" s="20" t="s">
        <v>542</v>
      </c>
    </row>
    <row r="259" spans="1:15" ht="15.75" x14ac:dyDescent="0.25">
      <c r="A259" s="14">
        <v>258</v>
      </c>
      <c r="B259" s="15">
        <v>63001563</v>
      </c>
      <c r="C259" s="16" t="s">
        <v>311</v>
      </c>
      <c r="D259" s="16" t="s">
        <v>199</v>
      </c>
      <c r="E259" s="14" t="s">
        <v>161</v>
      </c>
      <c r="F259" s="15"/>
      <c r="G259" s="15">
        <v>920314016552</v>
      </c>
      <c r="H259" s="18" t="s">
        <v>414</v>
      </c>
      <c r="I259" s="18">
        <v>46174</v>
      </c>
      <c r="J259" s="18">
        <v>46203</v>
      </c>
      <c r="K259" s="18">
        <v>46204</v>
      </c>
      <c r="L259" s="15">
        <v>30</v>
      </c>
      <c r="M259" s="14" t="s">
        <v>19</v>
      </c>
      <c r="N259" s="14" t="s">
        <v>157</v>
      </c>
      <c r="O259" s="20" t="s">
        <v>542</v>
      </c>
    </row>
    <row r="260" spans="1:15" ht="15.75" x14ac:dyDescent="0.25">
      <c r="A260" s="14">
        <v>259</v>
      </c>
      <c r="B260" s="15">
        <v>63036919</v>
      </c>
      <c r="C260" s="16" t="s">
        <v>415</v>
      </c>
      <c r="D260" s="16" t="s">
        <v>171</v>
      </c>
      <c r="E260" s="14" t="s">
        <v>155</v>
      </c>
      <c r="F260" s="15"/>
      <c r="G260" s="15">
        <v>1903001974</v>
      </c>
      <c r="H260" s="18">
        <v>46177</v>
      </c>
      <c r="I260" s="18">
        <v>46173</v>
      </c>
      <c r="J260" s="18">
        <v>46173</v>
      </c>
      <c r="K260" s="18">
        <v>46174</v>
      </c>
      <c r="L260" s="15">
        <v>1</v>
      </c>
      <c r="M260" s="14" t="s">
        <v>19</v>
      </c>
      <c r="N260" s="14" t="s">
        <v>157</v>
      </c>
      <c r="O260" s="20" t="s">
        <v>542</v>
      </c>
    </row>
    <row r="261" spans="1:15" ht="15.75" x14ac:dyDescent="0.25">
      <c r="A261" s="14">
        <v>260</v>
      </c>
      <c r="B261" s="15">
        <v>63036919</v>
      </c>
      <c r="C261" s="16" t="s">
        <v>415</v>
      </c>
      <c r="D261" s="16" t="s">
        <v>171</v>
      </c>
      <c r="E261" s="14" t="s">
        <v>155</v>
      </c>
      <c r="F261" s="15"/>
      <c r="G261" s="15">
        <v>1903001974</v>
      </c>
      <c r="H261" s="18">
        <v>46177</v>
      </c>
      <c r="I261" s="18">
        <v>46174</v>
      </c>
      <c r="J261" s="18">
        <v>46175</v>
      </c>
      <c r="K261" s="18">
        <v>46176</v>
      </c>
      <c r="L261" s="15">
        <v>2</v>
      </c>
      <c r="M261" s="14" t="s">
        <v>19</v>
      </c>
      <c r="N261" s="14" t="s">
        <v>157</v>
      </c>
      <c r="O261" s="20" t="s">
        <v>542</v>
      </c>
    </row>
    <row r="262" spans="1:15" ht="15.75" x14ac:dyDescent="0.25">
      <c r="A262" s="14">
        <v>261</v>
      </c>
      <c r="B262" s="15">
        <v>63036930</v>
      </c>
      <c r="C262" s="16" t="s">
        <v>170</v>
      </c>
      <c r="D262" s="16" t="s">
        <v>171</v>
      </c>
      <c r="E262" s="14" t="s">
        <v>155</v>
      </c>
      <c r="F262" s="15"/>
      <c r="G262" s="15">
        <v>15578001059</v>
      </c>
      <c r="H262" s="18">
        <v>46180</v>
      </c>
      <c r="I262" s="18">
        <v>46166</v>
      </c>
      <c r="J262" s="18">
        <v>46168</v>
      </c>
      <c r="K262" s="18">
        <v>46169</v>
      </c>
      <c r="L262" s="15">
        <v>3</v>
      </c>
      <c r="M262" s="14" t="s">
        <v>19</v>
      </c>
      <c r="N262" s="14" t="s">
        <v>157</v>
      </c>
      <c r="O262" s="20" t="s">
        <v>542</v>
      </c>
    </row>
    <row r="263" spans="1:15" ht="15.75" x14ac:dyDescent="0.25">
      <c r="A263" s="14">
        <v>262</v>
      </c>
      <c r="B263" s="15">
        <v>63001410</v>
      </c>
      <c r="C263" s="16" t="s">
        <v>347</v>
      </c>
      <c r="D263" s="16" t="s">
        <v>189</v>
      </c>
      <c r="E263" s="14" t="s">
        <v>155</v>
      </c>
      <c r="F263" s="15"/>
      <c r="G263" s="15">
        <v>850281028536</v>
      </c>
      <c r="H263" s="18">
        <v>46182</v>
      </c>
      <c r="I263" s="18">
        <v>46175</v>
      </c>
      <c r="J263" s="18">
        <v>46177</v>
      </c>
      <c r="K263" s="18">
        <v>46178</v>
      </c>
      <c r="L263" s="15">
        <v>3</v>
      </c>
      <c r="M263" s="14" t="s">
        <v>19</v>
      </c>
      <c r="N263" s="14" t="s">
        <v>157</v>
      </c>
      <c r="O263" s="20" t="s">
        <v>542</v>
      </c>
    </row>
    <row r="264" spans="1:15" ht="15.75" x14ac:dyDescent="0.25">
      <c r="A264" s="14">
        <v>263</v>
      </c>
      <c r="B264" s="15">
        <v>63001414</v>
      </c>
      <c r="C264" s="16" t="s">
        <v>239</v>
      </c>
      <c r="D264" s="16" t="s">
        <v>176</v>
      </c>
      <c r="E264" s="14" t="s">
        <v>155</v>
      </c>
      <c r="F264" s="15">
        <v>20</v>
      </c>
      <c r="G264" s="15">
        <v>891357004638</v>
      </c>
      <c r="H264" s="18">
        <v>46182</v>
      </c>
      <c r="I264" s="18">
        <v>46179</v>
      </c>
      <c r="J264" s="18">
        <v>46208</v>
      </c>
      <c r="K264" s="18">
        <v>46209</v>
      </c>
      <c r="L264" s="15">
        <v>30</v>
      </c>
      <c r="M264" s="14" t="s">
        <v>19</v>
      </c>
      <c r="N264" s="14" t="s">
        <v>157</v>
      </c>
      <c r="O264" s="20" t="s">
        <v>542</v>
      </c>
    </row>
    <row r="265" spans="1:15" ht="15.75" x14ac:dyDescent="0.25">
      <c r="A265" s="14">
        <v>264</v>
      </c>
      <c r="B265" s="15">
        <v>63001827</v>
      </c>
      <c r="C265" s="16" t="s">
        <v>179</v>
      </c>
      <c r="D265" s="16" t="s">
        <v>178</v>
      </c>
      <c r="E265" s="14" t="s">
        <v>155</v>
      </c>
      <c r="F265" s="15">
        <v>20</v>
      </c>
      <c r="G265" s="15">
        <v>670466005048</v>
      </c>
      <c r="H265" s="18">
        <v>46182</v>
      </c>
      <c r="I265" s="18">
        <v>46177</v>
      </c>
      <c r="J265" s="18">
        <v>46177</v>
      </c>
      <c r="K265" s="18">
        <v>46178</v>
      </c>
      <c r="L265" s="15">
        <v>1</v>
      </c>
      <c r="M265" s="14" t="s">
        <v>19</v>
      </c>
      <c r="N265" s="14" t="s">
        <v>157</v>
      </c>
      <c r="O265" s="20" t="s">
        <v>542</v>
      </c>
    </row>
    <row r="266" spans="1:15" ht="15.75" x14ac:dyDescent="0.25">
      <c r="A266" s="14">
        <v>265</v>
      </c>
      <c r="B266" s="15">
        <v>63001827</v>
      </c>
      <c r="C266" s="16" t="s">
        <v>179</v>
      </c>
      <c r="D266" s="16" t="s">
        <v>178</v>
      </c>
      <c r="E266" s="14" t="s">
        <v>155</v>
      </c>
      <c r="F266" s="15">
        <v>20</v>
      </c>
      <c r="G266" s="15">
        <v>670466005048</v>
      </c>
      <c r="H266" s="18">
        <v>46182</v>
      </c>
      <c r="I266" s="18">
        <v>46178</v>
      </c>
      <c r="J266" s="18">
        <v>46178</v>
      </c>
      <c r="K266" s="18">
        <v>46179</v>
      </c>
      <c r="L266" s="15">
        <v>1</v>
      </c>
      <c r="M266" s="14" t="s">
        <v>19</v>
      </c>
      <c r="N266" s="14" t="s">
        <v>157</v>
      </c>
      <c r="O266" s="20" t="s">
        <v>542</v>
      </c>
    </row>
    <row r="267" spans="1:15" ht="15.75" x14ac:dyDescent="0.25">
      <c r="A267" s="14">
        <v>266</v>
      </c>
      <c r="B267" s="15">
        <v>63001903</v>
      </c>
      <c r="C267" s="16" t="s">
        <v>184</v>
      </c>
      <c r="D267" s="16" t="s">
        <v>185</v>
      </c>
      <c r="E267" s="14" t="s">
        <v>161</v>
      </c>
      <c r="F267" s="15">
        <v>21</v>
      </c>
      <c r="G267" s="15">
        <v>748614000152</v>
      </c>
      <c r="H267" s="18">
        <v>46182</v>
      </c>
      <c r="I267" s="18">
        <v>46177</v>
      </c>
      <c r="J267" s="18">
        <v>46177</v>
      </c>
      <c r="K267" s="18">
        <v>46178</v>
      </c>
      <c r="L267" s="15">
        <v>1</v>
      </c>
      <c r="M267" s="14" t="s">
        <v>19</v>
      </c>
      <c r="N267" s="14" t="s">
        <v>157</v>
      </c>
      <c r="O267" s="20" t="s">
        <v>542</v>
      </c>
    </row>
    <row r="268" spans="1:15" ht="15.75" x14ac:dyDescent="0.25">
      <c r="A268" s="14">
        <v>267</v>
      </c>
      <c r="B268" s="15">
        <v>63001357</v>
      </c>
      <c r="C268" s="16" t="s">
        <v>285</v>
      </c>
      <c r="D268" s="16" t="s">
        <v>286</v>
      </c>
      <c r="E268" s="14" t="s">
        <v>161</v>
      </c>
      <c r="F268" s="15">
        <v>24</v>
      </c>
      <c r="G268" s="15">
        <v>850054056047</v>
      </c>
      <c r="H268" s="18">
        <v>46182</v>
      </c>
      <c r="I268" s="18">
        <v>46180</v>
      </c>
      <c r="J268" s="18">
        <v>46194</v>
      </c>
      <c r="K268" s="18">
        <v>46195</v>
      </c>
      <c r="L268" s="15">
        <v>15</v>
      </c>
      <c r="M268" s="14" t="s">
        <v>19</v>
      </c>
      <c r="N268" s="14" t="s">
        <v>157</v>
      </c>
      <c r="O268" s="20" t="s">
        <v>542</v>
      </c>
    </row>
    <row r="269" spans="1:15" ht="15.75" x14ac:dyDescent="0.25">
      <c r="A269" s="14">
        <v>268</v>
      </c>
      <c r="B269" s="15">
        <v>63001656</v>
      </c>
      <c r="C269" s="16" t="s">
        <v>229</v>
      </c>
      <c r="D269" s="16" t="s">
        <v>230</v>
      </c>
      <c r="E269" s="14" t="s">
        <v>231</v>
      </c>
      <c r="F269" s="15">
        <v>14</v>
      </c>
      <c r="G269" s="15">
        <v>870432021060</v>
      </c>
      <c r="H269" s="18">
        <v>46182</v>
      </c>
      <c r="I269" s="18">
        <v>46181</v>
      </c>
      <c r="J269" s="18">
        <v>46181</v>
      </c>
      <c r="K269" s="18">
        <v>46182</v>
      </c>
      <c r="L269" s="15">
        <v>1</v>
      </c>
      <c r="M269" s="14" t="s">
        <v>19</v>
      </c>
      <c r="N269" s="14" t="s">
        <v>157</v>
      </c>
      <c r="O269" s="20" t="s">
        <v>542</v>
      </c>
    </row>
    <row r="270" spans="1:15" ht="15.75" x14ac:dyDescent="0.25">
      <c r="A270" s="14">
        <v>269</v>
      </c>
      <c r="B270" s="15">
        <v>63001956</v>
      </c>
      <c r="C270" s="16" t="s">
        <v>168</v>
      </c>
      <c r="D270" s="16" t="s">
        <v>169</v>
      </c>
      <c r="E270" s="14" t="s">
        <v>161</v>
      </c>
      <c r="F270" s="15">
        <v>23</v>
      </c>
      <c r="G270" s="15">
        <v>843525002352</v>
      </c>
      <c r="H270" s="18">
        <v>46182</v>
      </c>
      <c r="I270" s="18">
        <v>46178</v>
      </c>
      <c r="J270" s="18">
        <v>46207</v>
      </c>
      <c r="K270" s="18">
        <v>46208</v>
      </c>
      <c r="L270" s="15">
        <v>30</v>
      </c>
      <c r="M270" s="14" t="s">
        <v>19</v>
      </c>
      <c r="N270" s="14" t="s">
        <v>157</v>
      </c>
      <c r="O270" s="20" t="s">
        <v>158</v>
      </c>
    </row>
    <row r="271" spans="1:15" ht="15.75" x14ac:dyDescent="0.25">
      <c r="A271" s="14">
        <v>270</v>
      </c>
      <c r="B271" s="15">
        <v>63001555</v>
      </c>
      <c r="C271" s="16" t="s">
        <v>376</v>
      </c>
      <c r="D271" s="16" t="s">
        <v>167</v>
      </c>
      <c r="E271" s="14" t="s">
        <v>161</v>
      </c>
      <c r="F271" s="15"/>
      <c r="G271" s="15">
        <v>851948002245</v>
      </c>
      <c r="H271" s="18">
        <v>46182</v>
      </c>
      <c r="I271" s="18">
        <v>46176</v>
      </c>
      <c r="J271" s="18">
        <v>46177</v>
      </c>
      <c r="K271" s="18">
        <v>46178</v>
      </c>
      <c r="L271" s="15">
        <v>1</v>
      </c>
      <c r="M271" s="14" t="s">
        <v>19</v>
      </c>
      <c r="N271" s="14" t="s">
        <v>157</v>
      </c>
      <c r="O271" s="20" t="s">
        <v>542</v>
      </c>
    </row>
    <row r="272" spans="1:15" ht="15.75" x14ac:dyDescent="0.25">
      <c r="A272" s="14">
        <v>271</v>
      </c>
      <c r="B272" s="15">
        <v>63001555</v>
      </c>
      <c r="C272" s="16" t="s">
        <v>376</v>
      </c>
      <c r="D272" s="16" t="s">
        <v>167</v>
      </c>
      <c r="E272" s="14" t="s">
        <v>161</v>
      </c>
      <c r="F272" s="15"/>
      <c r="G272" s="15">
        <v>851948002245</v>
      </c>
      <c r="H272" s="18">
        <v>46182</v>
      </c>
      <c r="I272" s="18">
        <v>46176</v>
      </c>
      <c r="J272" s="18">
        <v>46177</v>
      </c>
      <c r="K272" s="18">
        <v>46178</v>
      </c>
      <c r="L272" s="15">
        <v>2</v>
      </c>
      <c r="M272" s="14" t="s">
        <v>19</v>
      </c>
      <c r="N272" s="14" t="s">
        <v>157</v>
      </c>
      <c r="O272" s="20" t="s">
        <v>542</v>
      </c>
    </row>
    <row r="273" spans="1:15" ht="15.75" x14ac:dyDescent="0.25">
      <c r="A273" s="14">
        <v>272</v>
      </c>
      <c r="B273" s="15">
        <v>63001744</v>
      </c>
      <c r="C273" s="16" t="s">
        <v>377</v>
      </c>
      <c r="D273" s="16" t="s">
        <v>378</v>
      </c>
      <c r="E273" s="14" t="s">
        <v>155</v>
      </c>
      <c r="F273" s="15"/>
      <c r="G273" s="15">
        <v>710063024059</v>
      </c>
      <c r="H273" s="18">
        <v>46182</v>
      </c>
      <c r="I273" s="18">
        <v>46179</v>
      </c>
      <c r="J273" s="18">
        <v>46180</v>
      </c>
      <c r="K273" s="18">
        <v>46181</v>
      </c>
      <c r="L273" s="15">
        <v>2</v>
      </c>
      <c r="M273" s="14" t="s">
        <v>19</v>
      </c>
      <c r="N273" s="14" t="s">
        <v>157</v>
      </c>
      <c r="O273" s="20" t="s">
        <v>542</v>
      </c>
    </row>
    <row r="274" spans="1:15" ht="15.75" x14ac:dyDescent="0.25">
      <c r="A274" s="14">
        <v>273</v>
      </c>
      <c r="B274" s="15">
        <v>63001804</v>
      </c>
      <c r="C274" s="16" t="s">
        <v>321</v>
      </c>
      <c r="D274" s="16" t="s">
        <v>176</v>
      </c>
      <c r="E274" s="14" t="s">
        <v>155</v>
      </c>
      <c r="F274" s="15"/>
      <c r="G274" s="15">
        <v>965484000635</v>
      </c>
      <c r="H274" s="18">
        <v>46182</v>
      </c>
      <c r="I274" s="18">
        <v>46180</v>
      </c>
      <c r="J274" s="18">
        <v>46180</v>
      </c>
      <c r="K274" s="18">
        <v>46181</v>
      </c>
      <c r="L274" s="15">
        <v>1</v>
      </c>
      <c r="M274" s="14" t="s">
        <v>19</v>
      </c>
      <c r="N274" s="14" t="s">
        <v>157</v>
      </c>
      <c r="O274" s="20" t="s">
        <v>542</v>
      </c>
    </row>
    <row r="275" spans="1:15" ht="15.75" x14ac:dyDescent="0.25">
      <c r="A275" s="14">
        <v>274</v>
      </c>
      <c r="B275" s="15">
        <v>63001473</v>
      </c>
      <c r="C275" s="16" t="s">
        <v>416</v>
      </c>
      <c r="D275" s="16" t="s">
        <v>176</v>
      </c>
      <c r="E275" s="14" t="s">
        <v>155</v>
      </c>
      <c r="F275" s="15"/>
      <c r="G275" s="15">
        <v>883076002936</v>
      </c>
      <c r="H275" s="18">
        <v>46182</v>
      </c>
      <c r="I275" s="18">
        <v>46180</v>
      </c>
      <c r="J275" s="18">
        <v>46180</v>
      </c>
      <c r="K275" s="18">
        <v>46181</v>
      </c>
      <c r="L275" s="15">
        <v>1</v>
      </c>
      <c r="M275" s="14" t="s">
        <v>19</v>
      </c>
      <c r="N275" s="14" t="s">
        <v>157</v>
      </c>
      <c r="O275" s="20" t="s">
        <v>542</v>
      </c>
    </row>
    <row r="276" spans="1:15" ht="15.75" x14ac:dyDescent="0.25">
      <c r="A276" s="14">
        <v>275</v>
      </c>
      <c r="B276" s="15">
        <v>63001511</v>
      </c>
      <c r="C276" s="16" t="s">
        <v>380</v>
      </c>
      <c r="D276" s="16" t="s">
        <v>196</v>
      </c>
      <c r="E276" s="14" t="s">
        <v>161</v>
      </c>
      <c r="F276" s="15"/>
      <c r="G276" s="15">
        <v>910174016543</v>
      </c>
      <c r="H276" s="18">
        <v>46184</v>
      </c>
      <c r="I276" s="18">
        <v>46180</v>
      </c>
      <c r="J276" s="18">
        <v>46182</v>
      </c>
      <c r="K276" s="18">
        <v>46183</v>
      </c>
      <c r="L276" s="15">
        <v>3</v>
      </c>
      <c r="M276" s="14" t="s">
        <v>19</v>
      </c>
      <c r="N276" s="14" t="s">
        <v>157</v>
      </c>
      <c r="O276" s="20" t="s">
        <v>542</v>
      </c>
    </row>
    <row r="277" spans="1:15" ht="15.75" x14ac:dyDescent="0.25">
      <c r="A277" s="14">
        <v>276</v>
      </c>
      <c r="B277" s="15">
        <v>63001903</v>
      </c>
      <c r="C277" s="16" t="s">
        <v>184</v>
      </c>
      <c r="D277" s="16" t="s">
        <v>185</v>
      </c>
      <c r="E277" s="14" t="s">
        <v>161</v>
      </c>
      <c r="F277" s="15">
        <v>21</v>
      </c>
      <c r="G277" s="15">
        <v>748614000152</v>
      </c>
      <c r="H277" s="18">
        <v>46188</v>
      </c>
      <c r="I277" s="18">
        <v>46185</v>
      </c>
      <c r="J277" s="18">
        <v>46185</v>
      </c>
      <c r="K277" s="18">
        <v>46186</v>
      </c>
      <c r="L277" s="15">
        <v>1</v>
      </c>
      <c r="M277" s="14" t="s">
        <v>19</v>
      </c>
      <c r="N277" s="14" t="s">
        <v>157</v>
      </c>
      <c r="O277" s="20" t="s">
        <v>542</v>
      </c>
    </row>
    <row r="278" spans="1:15" ht="15.75" x14ac:dyDescent="0.25">
      <c r="A278" s="14">
        <v>277</v>
      </c>
      <c r="B278" s="15">
        <v>63036962</v>
      </c>
      <c r="C278" s="16" t="s">
        <v>274</v>
      </c>
      <c r="D278" s="16" t="s">
        <v>275</v>
      </c>
      <c r="E278" s="14" t="s">
        <v>161</v>
      </c>
      <c r="F278" s="15"/>
      <c r="G278" s="15">
        <v>970096007630</v>
      </c>
      <c r="H278" s="18">
        <v>46188</v>
      </c>
      <c r="I278" s="18">
        <v>46187</v>
      </c>
      <c r="J278" s="18">
        <v>46187</v>
      </c>
      <c r="K278" s="18">
        <v>46188</v>
      </c>
      <c r="L278" s="15">
        <v>1</v>
      </c>
      <c r="M278" s="14" t="s">
        <v>19</v>
      </c>
      <c r="N278" s="14" t="s">
        <v>157</v>
      </c>
      <c r="O278" s="20" t="s">
        <v>542</v>
      </c>
    </row>
    <row r="279" spans="1:15" ht="15.75" x14ac:dyDescent="0.25">
      <c r="A279" s="14">
        <v>278</v>
      </c>
      <c r="B279" s="15">
        <v>63001686</v>
      </c>
      <c r="C279" s="16" t="s">
        <v>381</v>
      </c>
      <c r="D279" s="16" t="s">
        <v>262</v>
      </c>
      <c r="E279" s="14" t="s">
        <v>161</v>
      </c>
      <c r="F279" s="15"/>
      <c r="G279" s="15">
        <v>923519002350</v>
      </c>
      <c r="H279" s="18">
        <v>46188</v>
      </c>
      <c r="I279" s="18">
        <v>46187</v>
      </c>
      <c r="J279" s="18">
        <v>46198</v>
      </c>
      <c r="K279" s="18">
        <v>46199</v>
      </c>
      <c r="L279" s="15">
        <v>12</v>
      </c>
      <c r="M279" s="14" t="s">
        <v>19</v>
      </c>
      <c r="N279" s="14" t="s">
        <v>157</v>
      </c>
      <c r="O279" s="20" t="s">
        <v>542</v>
      </c>
    </row>
    <row r="280" spans="1:15" ht="15.75" x14ac:dyDescent="0.25">
      <c r="A280" s="14">
        <v>279</v>
      </c>
      <c r="B280" s="15">
        <v>63001827</v>
      </c>
      <c r="C280" s="16" t="s">
        <v>179</v>
      </c>
      <c r="D280" s="16" t="s">
        <v>178</v>
      </c>
      <c r="E280" s="14" t="s">
        <v>155</v>
      </c>
      <c r="F280" s="15">
        <v>20</v>
      </c>
      <c r="G280" s="15">
        <v>670466005048</v>
      </c>
      <c r="H280" s="18">
        <v>46190</v>
      </c>
      <c r="I280" s="18">
        <v>46185</v>
      </c>
      <c r="J280" s="18">
        <v>46186</v>
      </c>
      <c r="K280" s="18">
        <v>46187</v>
      </c>
      <c r="L280" s="15">
        <v>2</v>
      </c>
      <c r="M280" s="14" t="s">
        <v>19</v>
      </c>
      <c r="N280" s="14" t="s">
        <v>157</v>
      </c>
      <c r="O280" s="20" t="s">
        <v>542</v>
      </c>
    </row>
    <row r="281" spans="1:15" ht="15.75" x14ac:dyDescent="0.25">
      <c r="A281" s="14">
        <v>280</v>
      </c>
      <c r="B281" s="15">
        <v>63001827</v>
      </c>
      <c r="C281" s="16" t="s">
        <v>179</v>
      </c>
      <c r="D281" s="16" t="s">
        <v>178</v>
      </c>
      <c r="E281" s="14" t="s">
        <v>155</v>
      </c>
      <c r="F281" s="15">
        <v>20</v>
      </c>
      <c r="G281" s="15">
        <v>670466005048</v>
      </c>
      <c r="H281" s="18">
        <v>46190</v>
      </c>
      <c r="I281" s="18">
        <v>46187</v>
      </c>
      <c r="J281" s="18">
        <v>46187</v>
      </c>
      <c r="K281" s="18">
        <v>46188</v>
      </c>
      <c r="L281" s="15">
        <v>1</v>
      </c>
      <c r="M281" s="14" t="s">
        <v>19</v>
      </c>
      <c r="N281" s="14" t="s">
        <v>157</v>
      </c>
      <c r="O281" s="20" t="s">
        <v>542</v>
      </c>
    </row>
    <row r="282" spans="1:15" ht="15.75" x14ac:dyDescent="0.25">
      <c r="A282" s="14">
        <v>281</v>
      </c>
      <c r="B282" s="15">
        <v>63001537</v>
      </c>
      <c r="C282" s="16" t="s">
        <v>331</v>
      </c>
      <c r="D282" s="16" t="s">
        <v>167</v>
      </c>
      <c r="E282" s="14" t="s">
        <v>161</v>
      </c>
      <c r="F282" s="15"/>
      <c r="G282" s="15">
        <v>870155038339</v>
      </c>
      <c r="H282" s="18">
        <v>46190</v>
      </c>
      <c r="I282" s="18">
        <v>46190</v>
      </c>
      <c r="J282" s="18">
        <v>46191</v>
      </c>
      <c r="K282" s="18">
        <v>46192</v>
      </c>
      <c r="L282" s="15">
        <v>2</v>
      </c>
      <c r="M282" s="14" t="s">
        <v>19</v>
      </c>
      <c r="N282" s="14" t="s">
        <v>157</v>
      </c>
      <c r="O282" s="20" t="s">
        <v>542</v>
      </c>
    </row>
    <row r="283" spans="1:15" ht="15.75" x14ac:dyDescent="0.25">
      <c r="A283" s="14">
        <v>282</v>
      </c>
      <c r="B283" s="15">
        <v>63001804</v>
      </c>
      <c r="C283" s="16" t="s">
        <v>321</v>
      </c>
      <c r="D283" s="16" t="s">
        <v>176</v>
      </c>
      <c r="E283" s="14" t="s">
        <v>155</v>
      </c>
      <c r="F283" s="15"/>
      <c r="G283" s="15">
        <v>965484000635</v>
      </c>
      <c r="H283" s="18">
        <v>46190</v>
      </c>
      <c r="I283" s="18">
        <v>46187</v>
      </c>
      <c r="J283" s="18">
        <v>46188</v>
      </c>
      <c r="K283" s="18">
        <v>46189</v>
      </c>
      <c r="L283" s="15">
        <v>2</v>
      </c>
      <c r="M283" s="14" t="s">
        <v>19</v>
      </c>
      <c r="N283" s="14" t="s">
        <v>157</v>
      </c>
      <c r="O283" s="20" t="s">
        <v>542</v>
      </c>
    </row>
    <row r="284" spans="1:15" ht="15.75" x14ac:dyDescent="0.25">
      <c r="A284" s="14">
        <v>283</v>
      </c>
      <c r="B284" s="15">
        <v>63001500</v>
      </c>
      <c r="C284" s="16" t="s">
        <v>186</v>
      </c>
      <c r="D284" s="16" t="s">
        <v>187</v>
      </c>
      <c r="E284" s="14" t="s">
        <v>155</v>
      </c>
      <c r="F284" s="15">
        <v>20</v>
      </c>
      <c r="G284" s="15">
        <v>850409004354</v>
      </c>
      <c r="H284" s="18">
        <v>46196</v>
      </c>
      <c r="I284" s="18">
        <v>46190</v>
      </c>
      <c r="J284" s="18">
        <v>46191</v>
      </c>
      <c r="K284" s="18">
        <v>46192</v>
      </c>
      <c r="L284" s="15">
        <v>2</v>
      </c>
      <c r="M284" s="14" t="s">
        <v>19</v>
      </c>
      <c r="N284" s="14" t="s">
        <v>157</v>
      </c>
      <c r="O284" s="20" t="s">
        <v>542</v>
      </c>
    </row>
    <row r="285" spans="1:15" ht="15.75" x14ac:dyDescent="0.25">
      <c r="A285" s="14">
        <v>284</v>
      </c>
      <c r="B285" s="15">
        <v>63036934</v>
      </c>
      <c r="C285" s="16" t="s">
        <v>343</v>
      </c>
      <c r="D285" s="16" t="s">
        <v>344</v>
      </c>
      <c r="E285" s="14" t="s">
        <v>161</v>
      </c>
      <c r="F285" s="15"/>
      <c r="G285" s="15">
        <v>17901000173</v>
      </c>
      <c r="H285" s="18">
        <v>46196</v>
      </c>
      <c r="I285" s="18">
        <v>46190</v>
      </c>
      <c r="J285" s="18">
        <v>46190</v>
      </c>
      <c r="K285" s="18">
        <v>46191</v>
      </c>
      <c r="L285" s="15">
        <v>1</v>
      </c>
      <c r="M285" s="14" t="s">
        <v>19</v>
      </c>
      <c r="N285" s="14" t="s">
        <v>157</v>
      </c>
      <c r="O285" s="20" t="s">
        <v>542</v>
      </c>
    </row>
    <row r="286" spans="1:15" ht="15.75" x14ac:dyDescent="0.25">
      <c r="A286" s="14">
        <v>285</v>
      </c>
      <c r="B286" s="15">
        <v>63001698</v>
      </c>
      <c r="C286" s="16" t="s">
        <v>182</v>
      </c>
      <c r="D286" s="16" t="s">
        <v>183</v>
      </c>
      <c r="E286" s="14" t="s">
        <v>161</v>
      </c>
      <c r="F286" s="15">
        <v>22</v>
      </c>
      <c r="G286" s="15">
        <v>910461009738</v>
      </c>
      <c r="H286" s="18">
        <v>46196</v>
      </c>
      <c r="I286" s="18">
        <v>46191</v>
      </c>
      <c r="J286" s="18">
        <v>46191</v>
      </c>
      <c r="K286" s="18">
        <v>46192</v>
      </c>
      <c r="L286" s="15">
        <v>1</v>
      </c>
      <c r="M286" s="14" t="s">
        <v>19</v>
      </c>
      <c r="N286" s="14" t="s">
        <v>165</v>
      </c>
      <c r="O286" s="20" t="s">
        <v>542</v>
      </c>
    </row>
    <row r="287" spans="1:15" ht="15.75" x14ac:dyDescent="0.25">
      <c r="A287" s="14">
        <v>286</v>
      </c>
      <c r="B287" s="15">
        <v>63001537</v>
      </c>
      <c r="C287" s="16" t="s">
        <v>331</v>
      </c>
      <c r="D287" s="16" t="s">
        <v>167</v>
      </c>
      <c r="E287" s="14" t="s">
        <v>161</v>
      </c>
      <c r="F287" s="15"/>
      <c r="G287" s="15">
        <v>870155038339</v>
      </c>
      <c r="H287" s="18">
        <v>46196</v>
      </c>
      <c r="I287" s="18">
        <v>46175</v>
      </c>
      <c r="J287" s="18">
        <v>46175</v>
      </c>
      <c r="K287" s="18">
        <v>46176</v>
      </c>
      <c r="L287" s="15">
        <v>1</v>
      </c>
      <c r="M287" s="14" t="s">
        <v>19</v>
      </c>
      <c r="N287" s="14" t="s">
        <v>157</v>
      </c>
      <c r="O287" s="20" t="s">
        <v>542</v>
      </c>
    </row>
    <row r="288" spans="1:15" ht="15.75" x14ac:dyDescent="0.25">
      <c r="A288" s="14">
        <v>287</v>
      </c>
      <c r="B288" s="15">
        <v>63001827</v>
      </c>
      <c r="C288" s="16" t="s">
        <v>179</v>
      </c>
      <c r="D288" s="16" t="s">
        <v>178</v>
      </c>
      <c r="E288" s="14" t="s">
        <v>155</v>
      </c>
      <c r="F288" s="15">
        <v>20</v>
      </c>
      <c r="G288" s="15">
        <v>670466005048</v>
      </c>
      <c r="H288" s="18">
        <v>46196</v>
      </c>
      <c r="I288" s="18">
        <v>46193</v>
      </c>
      <c r="J288" s="18">
        <v>46194</v>
      </c>
      <c r="K288" s="18">
        <v>46195</v>
      </c>
      <c r="L288" s="15">
        <v>2</v>
      </c>
      <c r="M288" s="14" t="s">
        <v>19</v>
      </c>
      <c r="N288" s="14" t="s">
        <v>157</v>
      </c>
      <c r="O288" s="20" t="s">
        <v>542</v>
      </c>
    </row>
    <row r="289" spans="1:15" ht="15.75" x14ac:dyDescent="0.25">
      <c r="A289" s="14">
        <v>288</v>
      </c>
      <c r="B289" s="15">
        <v>63001688</v>
      </c>
      <c r="C289" s="16" t="s">
        <v>305</v>
      </c>
      <c r="D289" s="16" t="s">
        <v>306</v>
      </c>
      <c r="E289" s="14" t="s">
        <v>155</v>
      </c>
      <c r="F289" s="15"/>
      <c r="G289" s="15">
        <v>853341000654</v>
      </c>
      <c r="H289" s="18">
        <v>46196</v>
      </c>
      <c r="I289" s="18">
        <v>46192</v>
      </c>
      <c r="J289" s="18">
        <v>46192</v>
      </c>
      <c r="K289" s="18">
        <v>46193</v>
      </c>
      <c r="L289" s="15">
        <v>1</v>
      </c>
      <c r="M289" s="14" t="s">
        <v>19</v>
      </c>
      <c r="N289" s="14" t="s">
        <v>157</v>
      </c>
      <c r="O289" s="20" t="s">
        <v>542</v>
      </c>
    </row>
    <row r="290" spans="1:15" ht="15.75" x14ac:dyDescent="0.25">
      <c r="A290" s="14">
        <v>289</v>
      </c>
      <c r="B290" s="15">
        <v>63001357</v>
      </c>
      <c r="C290" s="16" t="s">
        <v>285</v>
      </c>
      <c r="D290" s="16" t="s">
        <v>286</v>
      </c>
      <c r="E290" s="14" t="s">
        <v>161</v>
      </c>
      <c r="F290" s="15">
        <v>24</v>
      </c>
      <c r="G290" s="15">
        <v>850054056047</v>
      </c>
      <c r="H290" s="18">
        <v>46196</v>
      </c>
      <c r="I290" s="18">
        <v>46195</v>
      </c>
      <c r="J290" s="18">
        <v>46212</v>
      </c>
      <c r="K290" s="18">
        <v>46213</v>
      </c>
      <c r="L290" s="15">
        <v>18</v>
      </c>
      <c r="M290" s="14" t="s">
        <v>19</v>
      </c>
      <c r="N290" s="14" t="s">
        <v>157</v>
      </c>
      <c r="O290" s="20" t="s">
        <v>542</v>
      </c>
    </row>
    <row r="291" spans="1:15" ht="15.75" x14ac:dyDescent="0.25">
      <c r="A291" s="14">
        <v>290</v>
      </c>
      <c r="B291" s="15">
        <v>63001889</v>
      </c>
      <c r="C291" s="16" t="s">
        <v>233</v>
      </c>
      <c r="D291" s="16" t="s">
        <v>234</v>
      </c>
      <c r="E291" s="14" t="s">
        <v>161</v>
      </c>
      <c r="F291" s="15">
        <v>24</v>
      </c>
      <c r="G291" s="15">
        <v>710821004261</v>
      </c>
      <c r="H291" s="18">
        <v>46194</v>
      </c>
      <c r="I291" s="18">
        <v>46197</v>
      </c>
      <c r="J291" s="18">
        <v>46198</v>
      </c>
      <c r="K291" s="18">
        <v>46199</v>
      </c>
      <c r="L291" s="15">
        <v>4</v>
      </c>
      <c r="M291" s="14" t="s">
        <v>19</v>
      </c>
      <c r="N291" s="14" t="s">
        <v>157</v>
      </c>
      <c r="O291" s="20" t="s">
        <v>542</v>
      </c>
    </row>
    <row r="292" spans="1:15" ht="15.75" x14ac:dyDescent="0.25">
      <c r="A292" s="14">
        <v>291</v>
      </c>
      <c r="B292" s="15">
        <v>63001577</v>
      </c>
      <c r="C292" s="16" t="s">
        <v>193</v>
      </c>
      <c r="D292" s="16" t="s">
        <v>194</v>
      </c>
      <c r="E292" s="14" t="s">
        <v>161</v>
      </c>
      <c r="F292" s="15">
        <v>21</v>
      </c>
      <c r="G292" s="15">
        <v>922382002050</v>
      </c>
      <c r="H292" s="18">
        <v>46196</v>
      </c>
      <c r="I292" s="18">
        <v>46194</v>
      </c>
      <c r="J292" s="18">
        <v>46197</v>
      </c>
      <c r="K292" s="18">
        <v>46198</v>
      </c>
      <c r="L292" s="15">
        <v>4</v>
      </c>
      <c r="M292" s="14" t="s">
        <v>19</v>
      </c>
      <c r="N292" s="14" t="s">
        <v>157</v>
      </c>
      <c r="O292" s="20" t="s">
        <v>542</v>
      </c>
    </row>
    <row r="293" spans="1:15" ht="15.75" x14ac:dyDescent="0.25">
      <c r="A293" s="14">
        <v>292</v>
      </c>
      <c r="B293" s="15">
        <v>63036915</v>
      </c>
      <c r="C293" s="16" t="s">
        <v>382</v>
      </c>
      <c r="D293" s="16" t="s">
        <v>301</v>
      </c>
      <c r="E293" s="14" t="s">
        <v>161</v>
      </c>
      <c r="F293" s="15">
        <v>21</v>
      </c>
      <c r="G293" s="15">
        <v>277010768</v>
      </c>
      <c r="H293" s="18">
        <v>46198</v>
      </c>
      <c r="I293" s="18">
        <v>46190</v>
      </c>
      <c r="J293" s="18">
        <v>46191</v>
      </c>
      <c r="K293" s="18">
        <v>46192</v>
      </c>
      <c r="L293" s="15">
        <v>2</v>
      </c>
      <c r="M293" s="14" t="s">
        <v>19</v>
      </c>
      <c r="N293" s="14" t="s">
        <v>157</v>
      </c>
      <c r="O293" s="20" t="s">
        <v>542</v>
      </c>
    </row>
    <row r="294" spans="1:15" ht="15.75" x14ac:dyDescent="0.25">
      <c r="A294" s="14">
        <v>293</v>
      </c>
      <c r="B294" s="15">
        <v>63001511</v>
      </c>
      <c r="C294" s="16" t="s">
        <v>380</v>
      </c>
      <c r="D294" s="16" t="s">
        <v>196</v>
      </c>
      <c r="E294" s="14" t="s">
        <v>161</v>
      </c>
      <c r="F294" s="15"/>
      <c r="G294" s="15">
        <v>910174016543</v>
      </c>
      <c r="H294" s="18">
        <v>46201</v>
      </c>
      <c r="I294" s="18">
        <v>46195</v>
      </c>
      <c r="J294" s="18">
        <v>46196</v>
      </c>
      <c r="K294" s="18">
        <v>46197</v>
      </c>
      <c r="L294" s="15">
        <v>2</v>
      </c>
      <c r="M294" s="14" t="s">
        <v>19</v>
      </c>
      <c r="N294" s="14" t="s">
        <v>157</v>
      </c>
      <c r="O294" s="20" t="s">
        <v>542</v>
      </c>
    </row>
    <row r="295" spans="1:15" ht="15.75" x14ac:dyDescent="0.25">
      <c r="A295" s="14">
        <v>294</v>
      </c>
      <c r="B295" s="15">
        <v>63001710</v>
      </c>
      <c r="C295" s="16" t="s">
        <v>383</v>
      </c>
      <c r="D295" s="16" t="s">
        <v>217</v>
      </c>
      <c r="E295" s="14" t="s">
        <v>155</v>
      </c>
      <c r="F295" s="15"/>
      <c r="G295" s="15">
        <v>930174020453</v>
      </c>
      <c r="H295" s="18">
        <v>46201</v>
      </c>
      <c r="I295" s="18">
        <v>46193</v>
      </c>
      <c r="J295" s="18">
        <v>46194</v>
      </c>
      <c r="K295" s="18">
        <v>46195</v>
      </c>
      <c r="L295" s="15">
        <v>2</v>
      </c>
      <c r="M295" s="14" t="s">
        <v>19</v>
      </c>
      <c r="N295" s="14" t="s">
        <v>157</v>
      </c>
      <c r="O295" s="20" t="s">
        <v>542</v>
      </c>
    </row>
    <row r="296" spans="1:15" ht="15.75" x14ac:dyDescent="0.25">
      <c r="A296" s="14">
        <v>295</v>
      </c>
      <c r="B296" s="15">
        <v>63036916</v>
      </c>
      <c r="C296" s="16" t="s">
        <v>284</v>
      </c>
      <c r="D296" s="16" t="s">
        <v>178</v>
      </c>
      <c r="E296" s="14" t="s">
        <v>155</v>
      </c>
      <c r="F296" s="15"/>
      <c r="G296" s="15">
        <v>971883003435</v>
      </c>
      <c r="H296" s="18">
        <v>46201</v>
      </c>
      <c r="I296" s="18">
        <v>46196</v>
      </c>
      <c r="J296" s="18">
        <v>46196</v>
      </c>
      <c r="K296" s="18">
        <v>46197</v>
      </c>
      <c r="L296" s="15">
        <v>1</v>
      </c>
      <c r="M296" s="14" t="s">
        <v>19</v>
      </c>
      <c r="N296" s="14" t="s">
        <v>157</v>
      </c>
      <c r="O296" s="20" t="s">
        <v>542</v>
      </c>
    </row>
    <row r="297" spans="1:15" ht="15.75" x14ac:dyDescent="0.25">
      <c r="A297" s="14">
        <v>296</v>
      </c>
      <c r="B297" s="15">
        <v>63036917</v>
      </c>
      <c r="C297" s="16" t="s">
        <v>357</v>
      </c>
      <c r="D297" s="16" t="s">
        <v>178</v>
      </c>
      <c r="E297" s="14" t="s">
        <v>155</v>
      </c>
      <c r="F297" s="15"/>
      <c r="G297" s="15">
        <v>20430006273</v>
      </c>
      <c r="H297" s="18">
        <v>46201</v>
      </c>
      <c r="I297" s="18">
        <v>46195</v>
      </c>
      <c r="J297" s="18">
        <v>46196</v>
      </c>
      <c r="K297" s="18">
        <v>46197</v>
      </c>
      <c r="L297" s="15">
        <v>2</v>
      </c>
      <c r="M297" s="14" t="s">
        <v>19</v>
      </c>
      <c r="N297" s="14" t="s">
        <v>157</v>
      </c>
      <c r="O297" s="20" t="s">
        <v>542</v>
      </c>
    </row>
    <row r="298" spans="1:15" ht="15.75" x14ac:dyDescent="0.25">
      <c r="A298" s="14">
        <v>297</v>
      </c>
      <c r="B298" s="15">
        <v>63001537</v>
      </c>
      <c r="C298" s="16" t="s">
        <v>331</v>
      </c>
      <c r="D298" s="16" t="s">
        <v>167</v>
      </c>
      <c r="E298" s="14" t="s">
        <v>161</v>
      </c>
      <c r="F298" s="15"/>
      <c r="G298" s="15">
        <v>870155038339</v>
      </c>
      <c r="H298" s="18">
        <v>46203</v>
      </c>
      <c r="I298" s="18">
        <v>46197</v>
      </c>
      <c r="J298" s="18">
        <v>46197</v>
      </c>
      <c r="K298" s="18">
        <v>46198</v>
      </c>
      <c r="L298" s="15">
        <v>1</v>
      </c>
      <c r="M298" s="14" t="s">
        <v>19</v>
      </c>
      <c r="N298" s="14" t="s">
        <v>157</v>
      </c>
      <c r="O298" s="20" t="s">
        <v>542</v>
      </c>
    </row>
    <row r="299" spans="1:15" ht="15.75" x14ac:dyDescent="0.25">
      <c r="A299" s="14">
        <v>298</v>
      </c>
      <c r="B299" s="15">
        <v>63001698</v>
      </c>
      <c r="C299" s="16" t="s">
        <v>182</v>
      </c>
      <c r="D299" s="16" t="s">
        <v>183</v>
      </c>
      <c r="E299" s="14" t="s">
        <v>161</v>
      </c>
      <c r="F299" s="15">
        <v>22</v>
      </c>
      <c r="G299" s="15">
        <v>910461009738</v>
      </c>
      <c r="H299" s="18">
        <v>46203</v>
      </c>
      <c r="I299" s="18">
        <v>46201</v>
      </c>
      <c r="J299" s="18">
        <v>46201</v>
      </c>
      <c r="K299" s="18">
        <v>46202</v>
      </c>
      <c r="L299" s="15">
        <v>1</v>
      </c>
      <c r="M299" s="14" t="s">
        <v>19</v>
      </c>
      <c r="N299" s="14" t="s">
        <v>165</v>
      </c>
      <c r="O299" s="20" t="s">
        <v>542</v>
      </c>
    </row>
    <row r="300" spans="1:15" ht="15.75" x14ac:dyDescent="0.25">
      <c r="A300" s="14">
        <v>299</v>
      </c>
      <c r="B300" s="15">
        <v>63001577</v>
      </c>
      <c r="C300" s="16" t="s">
        <v>193</v>
      </c>
      <c r="D300" s="16" t="s">
        <v>194</v>
      </c>
      <c r="E300" s="14" t="s">
        <v>161</v>
      </c>
      <c r="F300" s="15">
        <v>21</v>
      </c>
      <c r="G300" s="15">
        <v>922382002050</v>
      </c>
      <c r="H300" s="18">
        <v>46203</v>
      </c>
      <c r="I300" s="18">
        <v>46202</v>
      </c>
      <c r="J300" s="18">
        <v>46204</v>
      </c>
      <c r="K300" s="18">
        <v>46205</v>
      </c>
      <c r="L300" s="15">
        <v>3</v>
      </c>
      <c r="M300" s="14" t="s">
        <v>19</v>
      </c>
      <c r="N300" s="14" t="s">
        <v>157</v>
      </c>
      <c r="O300" s="20" t="s">
        <v>542</v>
      </c>
    </row>
    <row r="301" spans="1:15" ht="15.75" x14ac:dyDescent="0.25">
      <c r="A301" s="14">
        <v>300</v>
      </c>
      <c r="B301" s="15">
        <v>63001546</v>
      </c>
      <c r="C301" s="16" t="s">
        <v>153</v>
      </c>
      <c r="D301" s="16" t="s">
        <v>154</v>
      </c>
      <c r="E301" s="14" t="s">
        <v>155</v>
      </c>
      <c r="F301" s="15">
        <v>20</v>
      </c>
      <c r="G301" s="15">
        <v>922423003949</v>
      </c>
      <c r="H301" s="18">
        <v>46175</v>
      </c>
      <c r="I301" s="18">
        <v>46174</v>
      </c>
      <c r="J301" s="18">
        <v>46203</v>
      </c>
      <c r="K301" s="18">
        <v>46204</v>
      </c>
      <c r="L301" s="15">
        <v>30</v>
      </c>
      <c r="M301" s="14" t="s">
        <v>156</v>
      </c>
      <c r="N301" s="14" t="s">
        <v>157</v>
      </c>
      <c r="O301" s="20" t="s">
        <v>542</v>
      </c>
    </row>
    <row r="302" spans="1:15" ht="15.75" x14ac:dyDescent="0.25">
      <c r="A302" s="14">
        <v>301</v>
      </c>
      <c r="B302" s="15">
        <v>63001698</v>
      </c>
      <c r="C302" s="16" t="s">
        <v>182</v>
      </c>
      <c r="D302" s="16" t="s">
        <v>183</v>
      </c>
      <c r="E302" s="14" t="s">
        <v>161</v>
      </c>
      <c r="F302" s="15">
        <v>22</v>
      </c>
      <c r="G302" s="15">
        <v>910461009738</v>
      </c>
      <c r="H302" s="18">
        <v>46203</v>
      </c>
      <c r="I302" s="18">
        <v>46203</v>
      </c>
      <c r="J302" s="18">
        <v>46203</v>
      </c>
      <c r="K302" s="18">
        <v>46204</v>
      </c>
      <c r="L302" s="15">
        <v>1</v>
      </c>
      <c r="M302" s="14" t="s">
        <v>19</v>
      </c>
      <c r="N302" s="14" t="s">
        <v>157</v>
      </c>
      <c r="O302" s="20" t="s">
        <v>542</v>
      </c>
    </row>
    <row r="303" spans="1:15" ht="15.75" x14ac:dyDescent="0.25">
      <c r="A303" s="14">
        <v>302</v>
      </c>
      <c r="B303" s="15">
        <v>63001472</v>
      </c>
      <c r="C303" s="16" t="s">
        <v>175</v>
      </c>
      <c r="D303" s="16" t="s">
        <v>176</v>
      </c>
      <c r="E303" s="14" t="s">
        <v>155</v>
      </c>
      <c r="F303" s="15">
        <v>20</v>
      </c>
      <c r="G303" s="15">
        <v>880683011641</v>
      </c>
      <c r="H303" s="18">
        <v>46204</v>
      </c>
      <c r="I303" s="18">
        <v>46203</v>
      </c>
      <c r="J303" s="18">
        <v>46232</v>
      </c>
      <c r="K303" s="18">
        <v>46233</v>
      </c>
      <c r="L303" s="15">
        <v>30</v>
      </c>
      <c r="M303" s="14" t="s">
        <v>19</v>
      </c>
      <c r="N303" s="14" t="s">
        <v>165</v>
      </c>
      <c r="O303" s="20" t="s">
        <v>542</v>
      </c>
    </row>
    <row r="304" spans="1:15" ht="15.75" x14ac:dyDescent="0.25">
      <c r="A304" s="14">
        <v>303</v>
      </c>
      <c r="B304" s="15">
        <v>63030548</v>
      </c>
      <c r="C304" s="16" t="s">
        <v>208</v>
      </c>
      <c r="D304" s="16" t="s">
        <v>209</v>
      </c>
      <c r="E304" s="14" t="s">
        <v>155</v>
      </c>
      <c r="F304" s="15">
        <v>20</v>
      </c>
      <c r="G304" s="15">
        <v>951020010564</v>
      </c>
      <c r="H304" s="18">
        <v>46204</v>
      </c>
      <c r="I304" s="18">
        <v>46201</v>
      </c>
      <c r="J304" s="18">
        <v>46201</v>
      </c>
      <c r="K304" s="18">
        <v>46202</v>
      </c>
      <c r="L304" s="15">
        <v>1</v>
      </c>
      <c r="M304" s="14" t="s">
        <v>19</v>
      </c>
      <c r="N304" s="14" t="s">
        <v>157</v>
      </c>
      <c r="O304" s="20" t="s">
        <v>542</v>
      </c>
    </row>
    <row r="305" spans="1:15" ht="15.75" x14ac:dyDescent="0.25">
      <c r="A305" s="14">
        <v>304</v>
      </c>
      <c r="B305" s="15">
        <v>63043576</v>
      </c>
      <c r="C305" s="16" t="s">
        <v>288</v>
      </c>
      <c r="D305" s="16" t="s">
        <v>164</v>
      </c>
      <c r="E305" s="14" t="s">
        <v>161</v>
      </c>
      <c r="F305" s="15">
        <v>21</v>
      </c>
      <c r="G305" s="15">
        <v>21623001872</v>
      </c>
      <c r="H305" s="18">
        <v>46204</v>
      </c>
      <c r="I305" s="18">
        <v>46201</v>
      </c>
      <c r="J305" s="18">
        <v>46201</v>
      </c>
      <c r="K305" s="18">
        <v>46202</v>
      </c>
      <c r="L305" s="15">
        <v>1</v>
      </c>
      <c r="M305" s="14" t="s">
        <v>19</v>
      </c>
      <c r="N305" s="14" t="s">
        <v>157</v>
      </c>
      <c r="O305" s="20" t="s">
        <v>542</v>
      </c>
    </row>
    <row r="306" spans="1:15" ht="15.75" x14ac:dyDescent="0.25">
      <c r="A306" s="14">
        <v>305</v>
      </c>
      <c r="B306" s="15">
        <v>63001537</v>
      </c>
      <c r="C306" s="16" t="s">
        <v>331</v>
      </c>
      <c r="D306" s="16" t="s">
        <v>167</v>
      </c>
      <c r="E306" s="14" t="s">
        <v>161</v>
      </c>
      <c r="F306" s="15"/>
      <c r="G306" s="15">
        <v>870155038339</v>
      </c>
      <c r="H306" s="18">
        <v>46204</v>
      </c>
      <c r="I306" s="18">
        <v>46204</v>
      </c>
      <c r="J306" s="18">
        <v>46204</v>
      </c>
      <c r="K306" s="18">
        <v>46205</v>
      </c>
      <c r="L306" s="15">
        <v>1</v>
      </c>
      <c r="M306" s="14" t="s">
        <v>19</v>
      </c>
      <c r="N306" s="14" t="s">
        <v>157</v>
      </c>
      <c r="O306" s="20" t="s">
        <v>542</v>
      </c>
    </row>
    <row r="307" spans="1:15" ht="15.75" x14ac:dyDescent="0.25">
      <c r="A307" s="14">
        <v>306</v>
      </c>
      <c r="B307" s="15">
        <v>63001827</v>
      </c>
      <c r="C307" s="16" t="s">
        <v>179</v>
      </c>
      <c r="D307" s="16" t="s">
        <v>178</v>
      </c>
      <c r="E307" s="14" t="s">
        <v>155</v>
      </c>
      <c r="F307" s="15">
        <v>20</v>
      </c>
      <c r="G307" s="15">
        <v>670466005048</v>
      </c>
      <c r="H307" s="18">
        <v>46204</v>
      </c>
      <c r="I307" s="18">
        <v>46201</v>
      </c>
      <c r="J307" s="18">
        <v>46202</v>
      </c>
      <c r="K307" s="18">
        <v>46203</v>
      </c>
      <c r="L307" s="15">
        <v>2</v>
      </c>
      <c r="M307" s="14" t="s">
        <v>19</v>
      </c>
      <c r="N307" s="14" t="s">
        <v>157</v>
      </c>
      <c r="O307" s="20" t="s">
        <v>542</v>
      </c>
    </row>
    <row r="308" spans="1:15" ht="15.75" x14ac:dyDescent="0.25">
      <c r="A308" s="14">
        <v>307</v>
      </c>
      <c r="B308" s="15">
        <v>63001368</v>
      </c>
      <c r="C308" s="16" t="s">
        <v>385</v>
      </c>
      <c r="D308" s="16" t="s">
        <v>386</v>
      </c>
      <c r="E308" s="14" t="s">
        <v>161</v>
      </c>
      <c r="F308" s="15"/>
      <c r="G308" s="15">
        <v>830931008246</v>
      </c>
      <c r="H308" s="18">
        <v>46204</v>
      </c>
      <c r="I308" s="18">
        <v>46197</v>
      </c>
      <c r="J308" s="18">
        <v>46204</v>
      </c>
      <c r="K308" s="18">
        <v>46205</v>
      </c>
      <c r="L308" s="15">
        <v>8</v>
      </c>
      <c r="M308" s="14" t="s">
        <v>19</v>
      </c>
      <c r="N308" s="14" t="s">
        <v>157</v>
      </c>
      <c r="O308" s="20" t="s">
        <v>542</v>
      </c>
    </row>
    <row r="309" spans="1:15" ht="15.75" x14ac:dyDescent="0.25">
      <c r="A309" s="14">
        <v>308</v>
      </c>
      <c r="B309" s="15">
        <v>63001612</v>
      </c>
      <c r="C309" s="16" t="s">
        <v>212</v>
      </c>
      <c r="D309" s="16" t="s">
        <v>213</v>
      </c>
      <c r="E309" s="14" t="s">
        <v>161</v>
      </c>
      <c r="F309" s="15">
        <v>21</v>
      </c>
      <c r="G309" s="15">
        <v>940013049446</v>
      </c>
      <c r="H309" s="18">
        <v>46204</v>
      </c>
      <c r="I309" s="18">
        <v>46203</v>
      </c>
      <c r="J309" s="18">
        <v>46232</v>
      </c>
      <c r="K309" s="18">
        <v>46233</v>
      </c>
      <c r="L309" s="15">
        <v>30</v>
      </c>
      <c r="M309" s="14" t="s">
        <v>19</v>
      </c>
      <c r="N309" s="14" t="s">
        <v>165</v>
      </c>
      <c r="O309" s="20" t="s">
        <v>542</v>
      </c>
    </row>
    <row r="310" spans="1:15" ht="15.75" x14ac:dyDescent="0.25">
      <c r="A310" s="14">
        <v>309</v>
      </c>
      <c r="B310" s="15">
        <v>63001563</v>
      </c>
      <c r="C310" s="16" t="s">
        <v>311</v>
      </c>
      <c r="D310" s="16" t="s">
        <v>199</v>
      </c>
      <c r="E310" s="14" t="s">
        <v>161</v>
      </c>
      <c r="F310" s="15"/>
      <c r="G310" s="15">
        <v>920314016552</v>
      </c>
      <c r="H310" s="18">
        <v>46209</v>
      </c>
      <c r="I310" s="18">
        <v>46204</v>
      </c>
      <c r="J310" s="18">
        <v>46233</v>
      </c>
      <c r="K310" s="18">
        <v>46234</v>
      </c>
      <c r="L310" s="15">
        <v>30</v>
      </c>
      <c r="M310" s="14" t="s">
        <v>19</v>
      </c>
      <c r="N310" s="14" t="s">
        <v>157</v>
      </c>
      <c r="O310" s="20" t="s">
        <v>542</v>
      </c>
    </row>
    <row r="311" spans="1:15" ht="15.75" x14ac:dyDescent="0.25">
      <c r="A311" s="14">
        <v>310</v>
      </c>
      <c r="B311" s="15">
        <v>63001785</v>
      </c>
      <c r="C311" s="16" t="s">
        <v>340</v>
      </c>
      <c r="D311" s="16" t="s">
        <v>247</v>
      </c>
      <c r="E311" s="14" t="s">
        <v>155</v>
      </c>
      <c r="F311" s="15"/>
      <c r="G311" s="15">
        <v>958531000345</v>
      </c>
      <c r="H311" s="18">
        <v>46209</v>
      </c>
      <c r="I311" s="18">
        <v>46206</v>
      </c>
      <c r="J311" s="18">
        <v>46235</v>
      </c>
      <c r="K311" s="18">
        <v>46236</v>
      </c>
      <c r="L311" s="15">
        <v>30</v>
      </c>
      <c r="M311" s="14" t="s">
        <v>19</v>
      </c>
      <c r="N311" s="14" t="s">
        <v>165</v>
      </c>
      <c r="O311" s="20" t="s">
        <v>162</v>
      </c>
    </row>
    <row r="312" spans="1:15" ht="15.75" x14ac:dyDescent="0.25">
      <c r="A312" s="14">
        <v>311</v>
      </c>
      <c r="B312" s="15">
        <v>63001418</v>
      </c>
      <c r="C312" s="16" t="s">
        <v>1334</v>
      </c>
      <c r="D312" s="16" t="s">
        <v>189</v>
      </c>
      <c r="E312" s="14" t="s">
        <v>155</v>
      </c>
      <c r="F312" s="15"/>
      <c r="G312" s="15">
        <v>880725012252</v>
      </c>
      <c r="H312" s="18">
        <v>46209</v>
      </c>
      <c r="I312" s="18">
        <v>46203</v>
      </c>
      <c r="J312" s="18">
        <v>46203</v>
      </c>
      <c r="K312" s="18">
        <v>46204</v>
      </c>
      <c r="L312" s="15">
        <v>1</v>
      </c>
      <c r="M312" s="14" t="s">
        <v>19</v>
      </c>
      <c r="N312" s="14" t="s">
        <v>157</v>
      </c>
      <c r="O312" s="20" t="s">
        <v>162</v>
      </c>
    </row>
    <row r="313" spans="1:15" ht="15.75" x14ac:dyDescent="0.25">
      <c r="A313" s="14">
        <v>312</v>
      </c>
      <c r="B313" s="15">
        <v>63001337</v>
      </c>
      <c r="C313" s="16" t="s">
        <v>188</v>
      </c>
      <c r="D313" s="16" t="s">
        <v>189</v>
      </c>
      <c r="E313" s="14" t="s">
        <v>161</v>
      </c>
      <c r="F313" s="15">
        <v>22</v>
      </c>
      <c r="G313" s="15">
        <v>890042008543</v>
      </c>
      <c r="H313" s="18">
        <v>46209</v>
      </c>
      <c r="I313" s="18">
        <v>46205</v>
      </c>
      <c r="J313" s="18">
        <v>46234</v>
      </c>
      <c r="K313" s="18">
        <v>46235</v>
      </c>
      <c r="L313" s="15">
        <v>30</v>
      </c>
      <c r="M313" s="14" t="s">
        <v>19</v>
      </c>
      <c r="N313" s="14" t="s">
        <v>165</v>
      </c>
      <c r="O313" s="20" t="s">
        <v>162</v>
      </c>
    </row>
    <row r="314" spans="1:15" ht="15.75" x14ac:dyDescent="0.25">
      <c r="A314" s="14">
        <v>313</v>
      </c>
      <c r="B314" s="15">
        <v>63001907</v>
      </c>
      <c r="C314" s="16" t="s">
        <v>1335</v>
      </c>
      <c r="D314" s="16" t="s">
        <v>536</v>
      </c>
      <c r="E314" s="14" t="s">
        <v>161</v>
      </c>
      <c r="F314" s="15"/>
      <c r="G314" s="15">
        <v>753864000248</v>
      </c>
      <c r="H314" s="18">
        <v>46209</v>
      </c>
      <c r="I314" s="18">
        <v>46209</v>
      </c>
      <c r="J314" s="18">
        <v>46211</v>
      </c>
      <c r="K314" s="18">
        <v>46212</v>
      </c>
      <c r="L314" s="15">
        <v>3</v>
      </c>
      <c r="M314" s="14" t="s">
        <v>19</v>
      </c>
      <c r="N314" s="14" t="s">
        <v>157</v>
      </c>
      <c r="O314" s="20" t="s">
        <v>162</v>
      </c>
    </row>
    <row r="315" spans="1:15" ht="15.75" x14ac:dyDescent="0.25">
      <c r="A315" s="14">
        <v>314</v>
      </c>
      <c r="B315" s="15">
        <v>63001706</v>
      </c>
      <c r="C315" s="16" t="s">
        <v>374</v>
      </c>
      <c r="D315" s="16" t="s">
        <v>199</v>
      </c>
      <c r="E315" s="14" t="s">
        <v>161</v>
      </c>
      <c r="F315" s="15" t="e">
        <v>#N/A</v>
      </c>
      <c r="G315" s="15">
        <v>935371000842</v>
      </c>
      <c r="H315" s="18">
        <v>46209</v>
      </c>
      <c r="I315" s="18">
        <v>46203</v>
      </c>
      <c r="J315" s="18">
        <v>46232</v>
      </c>
      <c r="K315" s="18">
        <v>46233</v>
      </c>
      <c r="L315" s="15">
        <v>30</v>
      </c>
      <c r="M315" s="14" t="s">
        <v>19</v>
      </c>
      <c r="N315" s="14" t="s">
        <v>157</v>
      </c>
      <c r="O315" s="20" t="s">
        <v>162</v>
      </c>
    </row>
    <row r="316" spans="1:15" ht="15.75" x14ac:dyDescent="0.25">
      <c r="A316" s="14">
        <v>315</v>
      </c>
      <c r="B316" s="15">
        <v>63001414</v>
      </c>
      <c r="C316" s="16" t="s">
        <v>239</v>
      </c>
      <c r="D316" s="16" t="s">
        <v>176</v>
      </c>
      <c r="E316" s="14" t="s">
        <v>155</v>
      </c>
      <c r="F316" s="15">
        <v>20</v>
      </c>
      <c r="G316" s="15">
        <v>891357004638</v>
      </c>
      <c r="H316" s="18">
        <v>46210</v>
      </c>
      <c r="I316" s="18">
        <v>46209</v>
      </c>
      <c r="J316" s="18">
        <v>46230</v>
      </c>
      <c r="K316" s="18">
        <v>46231</v>
      </c>
      <c r="L316" s="15">
        <v>22</v>
      </c>
      <c r="M316" s="14" t="s">
        <v>19</v>
      </c>
      <c r="N316" s="14" t="s">
        <v>157</v>
      </c>
      <c r="O316" s="20" t="s">
        <v>162</v>
      </c>
    </row>
    <row r="317" spans="1:15" ht="15.75" x14ac:dyDescent="0.25">
      <c r="A317" s="14">
        <v>316</v>
      </c>
      <c r="B317" s="15">
        <v>63001577</v>
      </c>
      <c r="C317" s="16" t="s">
        <v>629</v>
      </c>
      <c r="D317" s="16" t="s">
        <v>194</v>
      </c>
      <c r="E317" s="14" t="s">
        <v>161</v>
      </c>
      <c r="F317" s="15">
        <v>21</v>
      </c>
      <c r="G317" s="15">
        <v>922382002050</v>
      </c>
      <c r="H317" s="18">
        <v>46212</v>
      </c>
      <c r="I317" s="18">
        <v>46210</v>
      </c>
      <c r="J317" s="18">
        <v>46239</v>
      </c>
      <c r="K317" s="18">
        <v>46240</v>
      </c>
      <c r="L317" s="15">
        <v>30</v>
      </c>
      <c r="M317" s="14" t="s">
        <v>19</v>
      </c>
      <c r="N317" s="14" t="s">
        <v>157</v>
      </c>
      <c r="O317" s="20" t="s">
        <v>542</v>
      </c>
    </row>
    <row r="318" spans="1:15" ht="15.75" x14ac:dyDescent="0.25">
      <c r="A318" s="14">
        <v>317</v>
      </c>
      <c r="B318" s="15">
        <v>63001698</v>
      </c>
      <c r="C318" s="16" t="s">
        <v>182</v>
      </c>
      <c r="D318" s="16" t="s">
        <v>183</v>
      </c>
      <c r="E318" s="14" t="s">
        <v>161</v>
      </c>
      <c r="F318" s="15">
        <v>22</v>
      </c>
      <c r="G318" s="15">
        <v>910461009738</v>
      </c>
      <c r="H318" s="18">
        <v>46212</v>
      </c>
      <c r="I318" s="18">
        <v>46210</v>
      </c>
      <c r="J318" s="18">
        <v>46212</v>
      </c>
      <c r="K318" s="18">
        <v>46213</v>
      </c>
      <c r="L318" s="15">
        <v>3</v>
      </c>
      <c r="M318" s="14" t="s">
        <v>19</v>
      </c>
      <c r="N318" s="14" t="s">
        <v>157</v>
      </c>
      <c r="O318" s="20" t="s">
        <v>162</v>
      </c>
    </row>
    <row r="319" spans="1:15" ht="15.75" x14ac:dyDescent="0.25">
      <c r="A319" s="14">
        <v>318</v>
      </c>
      <c r="B319" s="15">
        <v>63001903</v>
      </c>
      <c r="C319" s="16" t="s">
        <v>184</v>
      </c>
      <c r="D319" s="16" t="s">
        <v>185</v>
      </c>
      <c r="E319" s="14" t="s">
        <v>161</v>
      </c>
      <c r="F319" s="15">
        <v>21</v>
      </c>
      <c r="G319" s="15">
        <v>748614000152</v>
      </c>
      <c r="H319" s="18">
        <v>46212</v>
      </c>
      <c r="I319" s="18">
        <v>46210</v>
      </c>
      <c r="J319" s="18">
        <v>46210</v>
      </c>
      <c r="K319" s="18">
        <v>46211</v>
      </c>
      <c r="L319" s="15">
        <v>1</v>
      </c>
      <c r="M319" s="14" t="s">
        <v>19</v>
      </c>
      <c r="N319" s="14" t="s">
        <v>157</v>
      </c>
      <c r="O319" s="20" t="s">
        <v>162</v>
      </c>
    </row>
    <row r="320" spans="1:15" ht="15.75" x14ac:dyDescent="0.25">
      <c r="A320" s="14">
        <v>319</v>
      </c>
      <c r="B320" s="15">
        <v>63001543</v>
      </c>
      <c r="C320" s="16" t="s">
        <v>543</v>
      </c>
      <c r="D320" s="16" t="s">
        <v>194</v>
      </c>
      <c r="E320" s="14" t="s">
        <v>161</v>
      </c>
      <c r="F320" s="15"/>
      <c r="G320" s="15">
        <v>926304000555</v>
      </c>
      <c r="H320" s="18">
        <v>46212</v>
      </c>
      <c r="I320" s="18">
        <v>46209</v>
      </c>
      <c r="J320" s="18">
        <v>46212</v>
      </c>
      <c r="K320" s="18">
        <v>46213</v>
      </c>
      <c r="L320" s="15">
        <v>4</v>
      </c>
      <c r="M320" s="14" t="s">
        <v>19</v>
      </c>
      <c r="N320" s="14" t="s">
        <v>157</v>
      </c>
      <c r="O320" s="20" t="s">
        <v>2152</v>
      </c>
    </row>
    <row r="321" spans="1:15" ht="15.75" x14ac:dyDescent="0.25">
      <c r="A321" s="14">
        <v>320</v>
      </c>
      <c r="B321" s="15">
        <v>63001827</v>
      </c>
      <c r="C321" s="16" t="s">
        <v>705</v>
      </c>
      <c r="D321" s="16" t="s">
        <v>178</v>
      </c>
      <c r="E321" s="14" t="s">
        <v>155</v>
      </c>
      <c r="F321" s="15">
        <v>20</v>
      </c>
      <c r="G321" s="15">
        <v>670466005048</v>
      </c>
      <c r="H321" s="18">
        <v>46215</v>
      </c>
      <c r="I321" s="18">
        <v>46209</v>
      </c>
      <c r="J321" s="18">
        <v>46211</v>
      </c>
      <c r="K321" s="18">
        <v>46212</v>
      </c>
      <c r="L321" s="15">
        <v>3</v>
      </c>
      <c r="M321" s="14" t="s">
        <v>19</v>
      </c>
      <c r="N321" s="14" t="s">
        <v>157</v>
      </c>
      <c r="O321" s="20" t="s">
        <v>2152</v>
      </c>
    </row>
    <row r="322" spans="1:15" ht="15.75" x14ac:dyDescent="0.25">
      <c r="A322" s="14">
        <v>321</v>
      </c>
      <c r="B322" s="15">
        <v>63001401</v>
      </c>
      <c r="C322" s="16" t="s">
        <v>1250</v>
      </c>
      <c r="D322" s="16" t="s">
        <v>429</v>
      </c>
      <c r="E322" s="14" t="s">
        <v>155</v>
      </c>
      <c r="F322" s="15"/>
      <c r="G322" s="15">
        <v>850285004542</v>
      </c>
      <c r="H322" s="18">
        <v>46215</v>
      </c>
      <c r="I322" s="18">
        <v>46210</v>
      </c>
      <c r="J322" s="18">
        <v>46212</v>
      </c>
      <c r="K322" s="18">
        <v>46213</v>
      </c>
      <c r="L322" s="15">
        <v>3</v>
      </c>
      <c r="M322" s="14" t="s">
        <v>19</v>
      </c>
      <c r="N322" s="14" t="s">
        <v>157</v>
      </c>
      <c r="O322" s="20" t="s">
        <v>2152</v>
      </c>
    </row>
  </sheetData>
  <autoFilter ref="A1:O1" xr:uid="{0DF0BC69-3058-4BB4-8328-98DC20B6D62C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9B874-36E7-4EED-9750-009E2EA904C5}">
  <sheetPr codeName="Sheet1">
    <tabColor theme="5"/>
  </sheetPr>
  <dimension ref="A1:BF49"/>
  <sheetViews>
    <sheetView zoomScaleNormal="100" workbookViewId="0">
      <selection sqref="A1:BF49"/>
    </sheetView>
  </sheetViews>
  <sheetFormatPr baseColWidth="10" defaultColWidth="9.140625" defaultRowHeight="15" x14ac:dyDescent="0.25"/>
  <cols>
    <col min="1" max="58" width="1.7109375" style="22" customWidth="1"/>
    <col min="59" max="16384" width="9.140625" style="22"/>
  </cols>
  <sheetData>
    <row r="1" spans="1:58" ht="15" customHeight="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</row>
    <row r="2" spans="1:58" ht="15" customHeight="1" x14ac:dyDescent="0.25">
      <c r="A2" s="23"/>
      <c r="B2" s="61"/>
      <c r="C2" s="61"/>
      <c r="D2" s="61"/>
      <c r="E2" s="61"/>
      <c r="F2" s="61"/>
      <c r="G2" s="61"/>
      <c r="H2" s="61"/>
      <c r="I2" s="61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</row>
    <row r="3" spans="1:58" ht="15" customHeight="1" x14ac:dyDescent="0.25">
      <c r="A3" s="23"/>
      <c r="B3" s="61"/>
      <c r="C3" s="61"/>
      <c r="D3" s="61"/>
      <c r="E3" s="61"/>
      <c r="F3" s="61"/>
      <c r="G3" s="61"/>
      <c r="H3" s="61"/>
      <c r="I3" s="61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</row>
    <row r="4" spans="1:58" ht="15" customHeight="1" x14ac:dyDescent="0.25">
      <c r="A4" s="23"/>
      <c r="B4" s="61"/>
      <c r="C4" s="61"/>
      <c r="D4" s="61"/>
      <c r="E4" s="61"/>
      <c r="F4" s="61"/>
      <c r="G4" s="61"/>
      <c r="H4" s="61"/>
      <c r="I4" s="61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</row>
    <row r="5" spans="1:58" ht="15" customHeight="1" x14ac:dyDescent="0.25">
      <c r="A5" s="23"/>
      <c r="B5" s="61"/>
      <c r="C5" s="61"/>
      <c r="D5" s="61"/>
      <c r="E5" s="61"/>
      <c r="F5" s="61"/>
      <c r="G5" s="61"/>
      <c r="H5" s="61"/>
      <c r="I5" s="61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</row>
    <row r="6" spans="1:58" ht="15" customHeight="1" x14ac:dyDescent="0.25">
      <c r="A6" s="23"/>
      <c r="B6" s="61"/>
      <c r="C6" s="61"/>
      <c r="D6" s="61"/>
      <c r="E6" s="61"/>
      <c r="F6" s="61"/>
      <c r="G6" s="61"/>
      <c r="H6" s="61"/>
      <c r="I6" s="61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</row>
    <row r="7" spans="1:58" ht="15" customHeight="1" x14ac:dyDescent="0.25">
      <c r="A7" s="23"/>
      <c r="B7" s="61"/>
      <c r="C7" s="61"/>
      <c r="D7" s="61"/>
      <c r="E7" s="61"/>
      <c r="F7" s="61"/>
      <c r="G7" s="61"/>
      <c r="H7" s="61"/>
      <c r="I7" s="61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</row>
    <row r="8" spans="1:58" ht="18" customHeight="1" x14ac:dyDescent="0.25">
      <c r="A8" s="23"/>
      <c r="B8" s="71" t="s">
        <v>23</v>
      </c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</row>
    <row r="9" spans="1:58" ht="18" customHeight="1" x14ac:dyDescent="0.25">
      <c r="A9" s="23"/>
      <c r="B9" s="71" t="s">
        <v>24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</row>
    <row r="10" spans="1:58" ht="18" customHeight="1" x14ac:dyDescent="0.25">
      <c r="A10" s="23"/>
      <c r="B10" s="71" t="s">
        <v>22</v>
      </c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</row>
    <row r="11" spans="1:58" ht="15" customHeight="1" x14ac:dyDescent="0.25">
      <c r="A11" s="2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</row>
    <row r="12" spans="1:58" ht="25.15" customHeight="1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62" t="s">
        <v>0</v>
      </c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3">
        <v>46216</v>
      </c>
      <c r="AU12" s="63"/>
      <c r="AV12" s="63"/>
      <c r="AW12" s="63"/>
      <c r="AX12" s="63"/>
      <c r="AY12" s="63"/>
      <c r="AZ12" s="63"/>
      <c r="BA12" s="25"/>
      <c r="BB12" s="23"/>
      <c r="BC12" s="23"/>
      <c r="BD12" s="23"/>
      <c r="BE12" s="23"/>
      <c r="BF12" s="23"/>
    </row>
    <row r="13" spans="1:58" ht="15" customHeight="1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</row>
    <row r="14" spans="1:58" ht="15" customHeight="1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7"/>
      <c r="P14" s="64" t="s">
        <v>1</v>
      </c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6"/>
      <c r="AR14" s="28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</row>
    <row r="15" spans="1:58" ht="15" customHeight="1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7"/>
      <c r="P15" s="67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9"/>
      <c r="AR15" s="28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</row>
    <row r="16" spans="1:58" ht="15" customHeight="1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</row>
    <row r="17" spans="1:58" ht="28.15" customHeight="1" x14ac:dyDescent="0.25">
      <c r="A17" s="23"/>
      <c r="B17" s="23"/>
      <c r="C17" s="23"/>
      <c r="D17" s="23"/>
      <c r="E17" s="70" t="s">
        <v>2</v>
      </c>
      <c r="F17" s="70"/>
      <c r="G17" s="70"/>
      <c r="H17" s="70"/>
      <c r="I17" s="80" t="s">
        <v>19</v>
      </c>
      <c r="J17" s="80"/>
      <c r="K17" s="80"/>
      <c r="L17" s="80"/>
      <c r="M17" s="80"/>
      <c r="N17" s="80"/>
      <c r="O17" s="80"/>
      <c r="P17" s="80"/>
      <c r="Q17" s="80"/>
      <c r="R17" s="80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</row>
    <row r="18" spans="1:58" ht="28.15" customHeight="1" x14ac:dyDescent="0.25">
      <c r="A18" s="23"/>
      <c r="B18" s="23"/>
      <c r="C18" s="23"/>
      <c r="D18" s="23"/>
      <c r="E18" s="70" t="s">
        <v>3</v>
      </c>
      <c r="F18" s="70"/>
      <c r="G18" s="70"/>
      <c r="H18" s="70"/>
      <c r="I18" s="79">
        <v>30234025963</v>
      </c>
      <c r="J18" s="79"/>
      <c r="K18" s="79"/>
      <c r="L18" s="79"/>
      <c r="M18" s="79"/>
      <c r="N18" s="79"/>
      <c r="O18" s="79"/>
      <c r="P18" s="79"/>
      <c r="Q18" s="79"/>
      <c r="R18" s="79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</row>
    <row r="19" spans="1:58" ht="28.15" customHeight="1" x14ac:dyDescent="0.25">
      <c r="A19" s="23"/>
      <c r="B19" s="23"/>
      <c r="C19" s="23"/>
      <c r="D19" s="23"/>
      <c r="E19" s="70" t="s">
        <v>4</v>
      </c>
      <c r="F19" s="70"/>
      <c r="G19" s="70"/>
      <c r="H19" s="70"/>
      <c r="I19" s="70"/>
      <c r="J19" s="70"/>
      <c r="K19" s="79">
        <v>63037004</v>
      </c>
      <c r="L19" s="79"/>
      <c r="M19" s="79"/>
      <c r="N19" s="79"/>
      <c r="O19" s="79"/>
      <c r="P19" s="79"/>
      <c r="Q19" s="79"/>
      <c r="R19" s="79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</row>
    <row r="20" spans="1:58" ht="19.899999999999999" customHeight="1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</row>
    <row r="21" spans="1:58" ht="15" customHeight="1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</row>
    <row r="22" spans="1:58" ht="15" customHeight="1" x14ac:dyDescent="0.25">
      <c r="A22" s="23"/>
      <c r="B22" s="23"/>
      <c r="C22" s="23"/>
      <c r="D22" s="23"/>
      <c r="E22" s="81" t="s">
        <v>20</v>
      </c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6" t="s">
        <v>89</v>
      </c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23"/>
      <c r="AY22" s="23"/>
      <c r="AZ22" s="23"/>
      <c r="BA22" s="23"/>
      <c r="BB22" s="23"/>
      <c r="BC22" s="23"/>
      <c r="BD22" s="23"/>
      <c r="BE22" s="23"/>
      <c r="BF22" s="23"/>
    </row>
    <row r="23" spans="1:58" ht="15" customHeight="1" x14ac:dyDescent="0.25">
      <c r="A23" s="23"/>
      <c r="B23" s="23"/>
      <c r="C23" s="23"/>
      <c r="D23" s="23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23"/>
      <c r="AY23" s="23"/>
      <c r="AZ23" s="23"/>
      <c r="BA23" s="23"/>
      <c r="BB23" s="23"/>
      <c r="BC23" s="23"/>
      <c r="BD23" s="23"/>
      <c r="BE23" s="23"/>
      <c r="BF23" s="23"/>
    </row>
    <row r="24" spans="1:58" ht="19.899999999999999" customHeight="1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</row>
    <row r="25" spans="1:58" ht="19.899999999999999" customHeight="1" x14ac:dyDescent="0.25">
      <c r="A25" s="23"/>
      <c r="B25" s="23"/>
      <c r="C25" s="23"/>
      <c r="D25" s="23"/>
      <c r="E25" s="87" t="s">
        <v>5</v>
      </c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9"/>
      <c r="Y25" s="90" t="s">
        <v>2141</v>
      </c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2"/>
      <c r="BC25" s="23"/>
      <c r="BD25" s="23"/>
      <c r="BE25" s="23"/>
      <c r="BF25" s="23"/>
    </row>
    <row r="26" spans="1:58" ht="15" customHeight="1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</row>
    <row r="27" spans="1:58" ht="19.899999999999999" customHeight="1" x14ac:dyDescent="0.25">
      <c r="A27" s="23"/>
      <c r="B27" s="23"/>
      <c r="C27" s="23"/>
      <c r="D27" s="23"/>
      <c r="E27" s="76" t="s">
        <v>6</v>
      </c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30"/>
      <c r="BD27" s="23"/>
      <c r="BE27" s="23"/>
      <c r="BF27" s="23"/>
    </row>
    <row r="28" spans="1:58" ht="19.899999999999999" customHeight="1" x14ac:dyDescent="0.25">
      <c r="A28" s="23"/>
      <c r="B28" s="23"/>
      <c r="C28" s="23"/>
      <c r="D28" s="23"/>
      <c r="E28" s="85">
        <v>1</v>
      </c>
      <c r="F28" s="85"/>
      <c r="G28" s="82" t="s">
        <v>2160</v>
      </c>
      <c r="H28" s="82"/>
      <c r="I28" s="82"/>
      <c r="J28" s="82"/>
      <c r="K28" s="83" t="s">
        <v>25</v>
      </c>
      <c r="L28" s="83"/>
      <c r="M28" s="74">
        <v>46211</v>
      </c>
      <c r="N28" s="74"/>
      <c r="O28" s="74"/>
      <c r="P28" s="74"/>
      <c r="Q28" s="74"/>
      <c r="R28" s="74"/>
      <c r="S28" s="74"/>
      <c r="T28" s="84" t="s">
        <v>7</v>
      </c>
      <c r="U28" s="84"/>
      <c r="V28" s="74">
        <v>46211</v>
      </c>
      <c r="W28" s="74"/>
      <c r="X28" s="74"/>
      <c r="Y28" s="74"/>
      <c r="Z28" s="74"/>
      <c r="AA28" s="74"/>
      <c r="AB28" s="74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23"/>
      <c r="BD28" s="23"/>
      <c r="BE28" s="23"/>
      <c r="BF28" s="23"/>
    </row>
    <row r="29" spans="1:58" ht="15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</row>
    <row r="30" spans="1:58" ht="19.899999999999999" customHeight="1" x14ac:dyDescent="0.25">
      <c r="A30" s="23"/>
      <c r="B30" s="23"/>
      <c r="C30" s="23"/>
      <c r="D30" s="23"/>
      <c r="E30" s="73" t="s">
        <v>21</v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4">
        <v>46212</v>
      </c>
      <c r="AB30" s="75"/>
      <c r="AC30" s="75"/>
      <c r="AD30" s="75"/>
      <c r="AE30" s="75"/>
      <c r="AF30" s="75"/>
      <c r="AG30" s="75"/>
      <c r="AH30" s="76" t="s">
        <v>8</v>
      </c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23"/>
      <c r="BD30" s="23"/>
      <c r="BE30" s="23"/>
      <c r="BF30" s="23"/>
    </row>
    <row r="31" spans="1:58" ht="19.899999999999999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</row>
    <row r="32" spans="1:58" ht="15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</row>
    <row r="33" spans="1:58" ht="15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</row>
    <row r="34" spans="1:58" ht="19.899999999999999" customHeight="1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</row>
    <row r="35" spans="1:58" ht="19.899999999999999" customHeight="1" x14ac:dyDescent="0.25">
      <c r="A35" s="23"/>
      <c r="B35" s="23"/>
      <c r="C35" s="23"/>
      <c r="D35" s="23"/>
      <c r="E35" s="78" t="s">
        <v>1332</v>
      </c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</row>
    <row r="36" spans="1:58" ht="19.899999999999999" customHeight="1" x14ac:dyDescent="0.25">
      <c r="A36" s="23"/>
      <c r="B36" s="23"/>
      <c r="C36" s="23"/>
      <c r="D36" s="23"/>
      <c r="E36" s="78" t="s">
        <v>1333</v>
      </c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</row>
    <row r="37" spans="1:58" ht="15" customHeight="1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</row>
    <row r="38" spans="1:58" ht="15" customHeight="1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</row>
    <row r="39" spans="1:58" ht="15" customHeight="1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77" t="s">
        <v>9</v>
      </c>
      <c r="BE39" s="77"/>
      <c r="BF39" s="23"/>
    </row>
    <row r="40" spans="1:58" ht="15" customHeight="1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77"/>
      <c r="BE40" s="77"/>
      <c r="BF40" s="23"/>
    </row>
    <row r="41" spans="1:58" ht="15" customHeight="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77"/>
      <c r="BE41" s="77"/>
      <c r="BF41" s="23"/>
    </row>
    <row r="42" spans="1:58" ht="15" customHeight="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77"/>
      <c r="BE42" s="77"/>
      <c r="BF42" s="23"/>
    </row>
    <row r="43" spans="1:58" ht="15" customHeight="1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77"/>
      <c r="BE43" s="77"/>
      <c r="BF43" s="23"/>
    </row>
    <row r="44" spans="1:58" ht="15" customHeight="1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32"/>
      <c r="BE44" s="32"/>
      <c r="BF44" s="23"/>
    </row>
    <row r="45" spans="1:58" ht="15" customHeight="1" x14ac:dyDescent="0.25">
      <c r="A45" s="23"/>
      <c r="B45" s="72"/>
      <c r="C45" s="72"/>
      <c r="D45" s="72"/>
      <c r="E45" s="72"/>
      <c r="F45" s="72"/>
      <c r="G45" s="72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72"/>
      <c r="BB45" s="72"/>
      <c r="BC45" s="72"/>
      <c r="BD45" s="72"/>
      <c r="BE45" s="72"/>
      <c r="BF45" s="23"/>
    </row>
    <row r="46" spans="1:58" ht="15" customHeight="1" x14ac:dyDescent="0.25">
      <c r="A46" s="23"/>
      <c r="B46" s="72"/>
      <c r="C46" s="72"/>
      <c r="D46" s="72"/>
      <c r="E46" s="72"/>
      <c r="F46" s="72"/>
      <c r="G46" s="72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72"/>
      <c r="BB46" s="72"/>
      <c r="BC46" s="72"/>
      <c r="BD46" s="72"/>
      <c r="BE46" s="72"/>
      <c r="BF46" s="23"/>
    </row>
    <row r="47" spans="1:58" ht="15" customHeight="1" x14ac:dyDescent="0.25">
      <c r="A47" s="23"/>
      <c r="B47" s="72"/>
      <c r="C47" s="72"/>
      <c r="D47" s="72"/>
      <c r="E47" s="72"/>
      <c r="F47" s="72"/>
      <c r="G47" s="72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72"/>
      <c r="BB47" s="72"/>
      <c r="BC47" s="72"/>
      <c r="BD47" s="72"/>
      <c r="BE47" s="72"/>
      <c r="BF47" s="23"/>
    </row>
    <row r="48" spans="1:58" ht="15" customHeight="1" x14ac:dyDescent="0.25">
      <c r="A48" s="23"/>
      <c r="B48" s="72"/>
      <c r="C48" s="72"/>
      <c r="D48" s="72"/>
      <c r="E48" s="72"/>
      <c r="F48" s="72"/>
      <c r="G48" s="72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72"/>
      <c r="BB48" s="72"/>
      <c r="BC48" s="72"/>
      <c r="BD48" s="72"/>
      <c r="BE48" s="72"/>
      <c r="BF48" s="23"/>
    </row>
    <row r="49" spans="1:58" ht="15" customHeight="1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</row>
  </sheetData>
  <mergeCells count="32">
    <mergeCell ref="E22:AF23"/>
    <mergeCell ref="G28:J28"/>
    <mergeCell ref="K28:L28"/>
    <mergeCell ref="M28:S28"/>
    <mergeCell ref="V28:AB28"/>
    <mergeCell ref="T28:U28"/>
    <mergeCell ref="E27:BB27"/>
    <mergeCell ref="E28:F28"/>
    <mergeCell ref="AG22:AW23"/>
    <mergeCell ref="E25:X25"/>
    <mergeCell ref="Y25:BB25"/>
    <mergeCell ref="I18:R18"/>
    <mergeCell ref="K19:R19"/>
    <mergeCell ref="I17:R17"/>
    <mergeCell ref="E18:H18"/>
    <mergeCell ref="E19:J19"/>
    <mergeCell ref="B45:G48"/>
    <mergeCell ref="BA45:BE48"/>
    <mergeCell ref="E30:Z30"/>
    <mergeCell ref="AA30:AG30"/>
    <mergeCell ref="AH30:BB30"/>
    <mergeCell ref="BD39:BE43"/>
    <mergeCell ref="E35:Y35"/>
    <mergeCell ref="E36:Y36"/>
    <mergeCell ref="B2:I7"/>
    <mergeCell ref="AI12:AS12"/>
    <mergeCell ref="AT12:AZ12"/>
    <mergeCell ref="P14:AQ15"/>
    <mergeCell ref="E17:H17"/>
    <mergeCell ref="B8:X8"/>
    <mergeCell ref="B9:X9"/>
    <mergeCell ref="B10:X10"/>
  </mergeCells>
  <dataValidations count="2">
    <dataValidation type="list" showInputMessage="1" showErrorMessage="1" sqref="E35:Y35" xr:uid="{3FA034F8-8703-43F2-A2BD-360289EF145C}">
      <formula1>POSTE_S</formula1>
    </dataValidation>
    <dataValidation type="list" showInputMessage="1" showErrorMessage="1" sqref="E36:Y36" xr:uid="{01F0E018-8FDC-46A4-8A24-D80AE6377E04}">
      <formula1>NOM_PRENOM_S</formula1>
    </dataValidation>
  </dataValidations>
  <printOptions horizontalCentered="1" verticalCentered="1"/>
  <pageMargins left="0" right="0" top="0" bottom="0" header="0" footer="0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F0-4E9A-411F-986E-77269F9E2FA6}">
  <sheetPr codeName="Sheet3">
    <tabColor theme="9"/>
  </sheetPr>
  <dimension ref="A1:K914"/>
  <sheetViews>
    <sheetView workbookViewId="0"/>
  </sheetViews>
  <sheetFormatPr baseColWidth="10" defaultColWidth="9.140625" defaultRowHeight="15" x14ac:dyDescent="0.25"/>
  <cols>
    <col min="1" max="1" width="17.85546875" style="7" bestFit="1" customWidth="1"/>
    <col min="2" max="2" width="25.28515625" style="7" bestFit="1" customWidth="1"/>
    <col min="3" max="3" width="47" style="7" bestFit="1" customWidth="1"/>
    <col min="4" max="4" width="22.5703125" style="7" bestFit="1" customWidth="1"/>
    <col min="5" max="5" width="39.85546875" style="3" bestFit="1" customWidth="1"/>
    <col min="6" max="6" width="27.28515625" style="3" bestFit="1" customWidth="1"/>
    <col min="7" max="7" width="14.7109375" style="3" bestFit="1" customWidth="1"/>
    <col min="8" max="8" width="45" style="3" bestFit="1" customWidth="1"/>
    <col min="9" max="9" width="9.140625" style="3"/>
    <col min="10" max="10" width="44" style="3" bestFit="1" customWidth="1"/>
    <col min="11" max="11" width="46" style="3" bestFit="1" customWidth="1"/>
    <col min="12" max="16384" width="9.140625" style="3"/>
  </cols>
  <sheetData>
    <row r="1" spans="1:11" ht="43.5" thickTop="1" thickBot="1" x14ac:dyDescent="0.3">
      <c r="A1" s="1" t="s">
        <v>26</v>
      </c>
      <c r="B1" s="2" t="s">
        <v>27</v>
      </c>
      <c r="C1" s="1" t="s">
        <v>28</v>
      </c>
      <c r="D1" s="1" t="s">
        <v>29</v>
      </c>
      <c r="E1" s="8" t="s">
        <v>417</v>
      </c>
      <c r="F1" s="8" t="s">
        <v>142</v>
      </c>
      <c r="G1" s="8" t="s">
        <v>143</v>
      </c>
      <c r="H1" s="8" t="s">
        <v>630</v>
      </c>
      <c r="J1" s="8" t="s">
        <v>2158</v>
      </c>
      <c r="K1" s="8" t="s">
        <v>2159</v>
      </c>
    </row>
    <row r="2" spans="1:11" ht="16.5" thickTop="1" x14ac:dyDescent="0.25">
      <c r="A2" s="4">
        <v>63001312</v>
      </c>
      <c r="B2" s="4">
        <v>780727002748</v>
      </c>
      <c r="C2" s="5" t="s">
        <v>1336</v>
      </c>
      <c r="D2" s="6" t="s">
        <v>10</v>
      </c>
      <c r="E2" s="5" t="s">
        <v>418</v>
      </c>
      <c r="F2" s="6" t="s">
        <v>155</v>
      </c>
      <c r="G2" s="6"/>
      <c r="H2" s="5" t="s">
        <v>631</v>
      </c>
      <c r="J2" s="21" t="s">
        <v>1333</v>
      </c>
      <c r="K2" s="3" t="s">
        <v>1332</v>
      </c>
    </row>
    <row r="3" spans="1:11" ht="15.75" x14ac:dyDescent="0.25">
      <c r="A3" s="4">
        <v>63001330</v>
      </c>
      <c r="B3" s="4">
        <v>787684000235</v>
      </c>
      <c r="C3" s="5" t="s">
        <v>1337</v>
      </c>
      <c r="D3" s="6" t="s">
        <v>10</v>
      </c>
      <c r="E3" s="5" t="s">
        <v>423</v>
      </c>
      <c r="F3" s="6" t="s">
        <v>161</v>
      </c>
      <c r="G3" s="6"/>
      <c r="H3" s="5" t="s">
        <v>632</v>
      </c>
      <c r="J3" s="21" t="s">
        <v>2157</v>
      </c>
      <c r="K3" s="3" t="s">
        <v>2156</v>
      </c>
    </row>
    <row r="4" spans="1:11" ht="15.75" x14ac:dyDescent="0.25">
      <c r="A4" s="4">
        <v>63001396</v>
      </c>
      <c r="B4" s="4">
        <v>833891001243</v>
      </c>
      <c r="C4" s="5" t="s">
        <v>1338</v>
      </c>
      <c r="D4" s="6" t="s">
        <v>10</v>
      </c>
      <c r="E4" s="5" t="s">
        <v>419</v>
      </c>
      <c r="F4" s="6" t="s">
        <v>161</v>
      </c>
      <c r="G4" s="6"/>
      <c r="H4" s="5" t="s">
        <v>633</v>
      </c>
    </row>
    <row r="5" spans="1:11" ht="15.75" x14ac:dyDescent="0.25">
      <c r="A5" s="4">
        <v>63001499</v>
      </c>
      <c r="B5" s="4">
        <v>830073013551</v>
      </c>
      <c r="C5" s="5" t="s">
        <v>1339</v>
      </c>
      <c r="D5" s="6" t="s">
        <v>10</v>
      </c>
      <c r="E5" s="5" t="s">
        <v>319</v>
      </c>
      <c r="F5" s="6" t="s">
        <v>161</v>
      </c>
      <c r="G5" s="6"/>
      <c r="H5" s="5" t="s">
        <v>634</v>
      </c>
    </row>
    <row r="6" spans="1:11" ht="15.75" x14ac:dyDescent="0.25">
      <c r="A6" s="4">
        <v>63001502</v>
      </c>
      <c r="B6" s="4">
        <v>880564012841</v>
      </c>
      <c r="C6" s="5" t="s">
        <v>1340</v>
      </c>
      <c r="D6" s="6" t="s">
        <v>10</v>
      </c>
      <c r="E6" s="5" t="s">
        <v>420</v>
      </c>
      <c r="F6" s="6" t="s">
        <v>155</v>
      </c>
      <c r="G6" s="6"/>
      <c r="H6" s="5" t="s">
        <v>635</v>
      </c>
    </row>
    <row r="7" spans="1:11" ht="15.75" x14ac:dyDescent="0.25">
      <c r="A7" s="4">
        <v>63001539</v>
      </c>
      <c r="B7" s="4">
        <v>909792000234</v>
      </c>
      <c r="C7" s="5" t="s">
        <v>30</v>
      </c>
      <c r="D7" s="6" t="s">
        <v>10</v>
      </c>
      <c r="E7" s="5" t="s">
        <v>194</v>
      </c>
      <c r="F7" s="6" t="s">
        <v>161</v>
      </c>
      <c r="G7" s="6"/>
      <c r="H7" s="5" t="s">
        <v>317</v>
      </c>
    </row>
    <row r="8" spans="1:11" ht="15.75" x14ac:dyDescent="0.25">
      <c r="A8" s="4">
        <v>63001543</v>
      </c>
      <c r="B8" s="4">
        <v>926304000555</v>
      </c>
      <c r="C8" s="5" t="s">
        <v>2052</v>
      </c>
      <c r="D8" s="6" t="s">
        <v>10</v>
      </c>
      <c r="E8" s="5" t="s">
        <v>194</v>
      </c>
      <c r="F8" s="6" t="s">
        <v>161</v>
      </c>
      <c r="G8" s="6"/>
      <c r="H8" s="5" t="s">
        <v>543</v>
      </c>
    </row>
    <row r="9" spans="1:11" ht="15.75" x14ac:dyDescent="0.25">
      <c r="A9" s="4">
        <v>63001577</v>
      </c>
      <c r="B9" s="4">
        <v>922382002050</v>
      </c>
      <c r="C9" s="5" t="s">
        <v>629</v>
      </c>
      <c r="D9" s="6" t="s">
        <v>10</v>
      </c>
      <c r="E9" s="5" t="s">
        <v>194</v>
      </c>
      <c r="F9" s="6" t="s">
        <v>161</v>
      </c>
      <c r="G9" s="6">
        <f>_xlfn.XLOOKUP(DATA_TABLE[[#This Row],[Matricule]],GLOBAL!$B$2:$B$351,GLOBAL!$F$2:$F$351,"not found")</f>
        <v>21</v>
      </c>
      <c r="H9" s="5" t="s">
        <v>193</v>
      </c>
    </row>
    <row r="10" spans="1:11" ht="15.75" x14ac:dyDescent="0.25">
      <c r="A10" s="4">
        <v>63001583</v>
      </c>
      <c r="B10" s="4">
        <v>917594000534</v>
      </c>
      <c r="C10" s="5" t="s">
        <v>31</v>
      </c>
      <c r="D10" s="6" t="s">
        <v>10</v>
      </c>
      <c r="E10" s="5" t="s">
        <v>194</v>
      </c>
      <c r="F10" s="6" t="s">
        <v>161</v>
      </c>
      <c r="G10" s="6"/>
      <c r="H10" s="5" t="s">
        <v>1266</v>
      </c>
    </row>
    <row r="11" spans="1:11" ht="15.75" x14ac:dyDescent="0.25">
      <c r="A11" s="4">
        <v>63001619</v>
      </c>
      <c r="B11" s="4">
        <v>842772002939</v>
      </c>
      <c r="C11" s="5" t="s">
        <v>1341</v>
      </c>
      <c r="D11" s="6" t="s">
        <v>10</v>
      </c>
      <c r="E11" s="5" t="s">
        <v>194</v>
      </c>
      <c r="F11" s="6" t="s">
        <v>161</v>
      </c>
      <c r="G11" s="6"/>
      <c r="H11" s="5" t="s">
        <v>636</v>
      </c>
    </row>
    <row r="12" spans="1:11" ht="15.75" x14ac:dyDescent="0.25">
      <c r="A12" s="4">
        <v>63001640</v>
      </c>
      <c r="B12" s="4">
        <v>931500006851</v>
      </c>
      <c r="C12" s="5" t="s">
        <v>32</v>
      </c>
      <c r="D12" s="6" t="s">
        <v>10</v>
      </c>
      <c r="E12" s="5" t="s">
        <v>201</v>
      </c>
      <c r="F12" s="6" t="s">
        <v>161</v>
      </c>
      <c r="G12" s="6"/>
      <c r="H12" s="5" t="s">
        <v>1267</v>
      </c>
    </row>
    <row r="13" spans="1:11" ht="15.75" x14ac:dyDescent="0.25">
      <c r="A13" s="4">
        <v>63001648</v>
      </c>
      <c r="B13" s="4">
        <v>860295019825</v>
      </c>
      <c r="C13" s="5" t="s">
        <v>2053</v>
      </c>
      <c r="D13" s="6" t="s">
        <v>10</v>
      </c>
      <c r="E13" s="5" t="s">
        <v>319</v>
      </c>
      <c r="F13" s="6" t="s">
        <v>161</v>
      </c>
      <c r="G13" s="6"/>
      <c r="H13" s="5" t="s">
        <v>544</v>
      </c>
    </row>
    <row r="14" spans="1:11" ht="15.75" x14ac:dyDescent="0.25">
      <c r="A14" s="4">
        <v>63001649</v>
      </c>
      <c r="B14" s="4">
        <v>920930007347</v>
      </c>
      <c r="C14" s="5" t="s">
        <v>33</v>
      </c>
      <c r="D14" s="6" t="s">
        <v>10</v>
      </c>
      <c r="E14" s="5" t="s">
        <v>319</v>
      </c>
      <c r="F14" s="6" t="s">
        <v>161</v>
      </c>
      <c r="G14" s="6"/>
      <c r="H14" s="5" t="s">
        <v>318</v>
      </c>
    </row>
    <row r="15" spans="1:11" ht="15.75" x14ac:dyDescent="0.25">
      <c r="A15" s="4">
        <v>63001650</v>
      </c>
      <c r="B15" s="4">
        <v>936023000851</v>
      </c>
      <c r="C15" s="5" t="s">
        <v>34</v>
      </c>
      <c r="D15" s="6" t="s">
        <v>10</v>
      </c>
      <c r="E15" s="5" t="s">
        <v>194</v>
      </c>
      <c r="F15" s="6" t="s">
        <v>161</v>
      </c>
      <c r="G15" s="6">
        <f>_xlfn.XLOOKUP(DATA_TABLE[[#This Row],[Matricule]],GLOBAL!$B$2:$B$351,GLOBAL!$F$2:$F$351,"not found")</f>
        <v>21</v>
      </c>
      <c r="H15" s="5" t="s">
        <v>210</v>
      </c>
    </row>
    <row r="16" spans="1:11" ht="15.75" x14ac:dyDescent="0.25">
      <c r="A16" s="4">
        <v>63001655</v>
      </c>
      <c r="B16" s="4">
        <v>826236000847</v>
      </c>
      <c r="C16" s="5" t="s">
        <v>1342</v>
      </c>
      <c r="D16" s="6" t="s">
        <v>10</v>
      </c>
      <c r="E16" s="5" t="s">
        <v>426</v>
      </c>
      <c r="F16" s="6" t="s">
        <v>155</v>
      </c>
      <c r="G16" s="6"/>
      <c r="H16" s="5" t="s">
        <v>637</v>
      </c>
    </row>
    <row r="17" spans="1:8" ht="15.75" x14ac:dyDescent="0.25">
      <c r="A17" s="4">
        <v>63001768</v>
      </c>
      <c r="B17" s="4">
        <v>686302000161</v>
      </c>
      <c r="C17" s="5" t="s">
        <v>1343</v>
      </c>
      <c r="D17" s="6" t="s">
        <v>10</v>
      </c>
      <c r="E17" s="5" t="s">
        <v>422</v>
      </c>
      <c r="F17" s="6" t="s">
        <v>155</v>
      </c>
      <c r="G17" s="6"/>
      <c r="H17" s="5" t="s">
        <v>638</v>
      </c>
    </row>
    <row r="18" spans="1:8" ht="15.75" x14ac:dyDescent="0.25">
      <c r="A18" s="4">
        <v>63001884</v>
      </c>
      <c r="B18" s="4">
        <v>772977000341</v>
      </c>
      <c r="C18" s="5" t="s">
        <v>2054</v>
      </c>
      <c r="D18" s="6" t="s">
        <v>10</v>
      </c>
      <c r="E18" s="5" t="s">
        <v>425</v>
      </c>
      <c r="F18" s="6" t="s">
        <v>161</v>
      </c>
      <c r="G18" s="6"/>
      <c r="H18" s="5" t="s">
        <v>545</v>
      </c>
    </row>
    <row r="19" spans="1:8" ht="15.75" x14ac:dyDescent="0.25">
      <c r="A19" s="4">
        <v>63001930</v>
      </c>
      <c r="B19" s="4">
        <v>701527000958</v>
      </c>
      <c r="C19" s="5" t="s">
        <v>35</v>
      </c>
      <c r="D19" s="6" t="s">
        <v>10</v>
      </c>
      <c r="E19" s="5" t="s">
        <v>424</v>
      </c>
      <c r="F19" s="6" t="s">
        <v>161</v>
      </c>
      <c r="G19" s="6"/>
      <c r="H19" s="5" t="s">
        <v>1268</v>
      </c>
    </row>
    <row r="20" spans="1:8" ht="15.75" x14ac:dyDescent="0.25">
      <c r="A20" s="4">
        <v>63001931</v>
      </c>
      <c r="B20" s="4">
        <v>753108001261</v>
      </c>
      <c r="C20" s="5" t="s">
        <v>1344</v>
      </c>
      <c r="D20" s="6" t="s">
        <v>10</v>
      </c>
      <c r="E20" s="5" t="s">
        <v>421</v>
      </c>
      <c r="F20" s="6" t="s">
        <v>161</v>
      </c>
      <c r="G20" s="6"/>
      <c r="H20" s="5" t="s">
        <v>639</v>
      </c>
    </row>
    <row r="21" spans="1:8" ht="15.75" x14ac:dyDescent="0.25">
      <c r="A21" s="4">
        <v>63001935</v>
      </c>
      <c r="B21" s="4">
        <v>743254000950</v>
      </c>
      <c r="C21" s="5" t="s">
        <v>2055</v>
      </c>
      <c r="D21" s="6" t="s">
        <v>10</v>
      </c>
      <c r="E21" s="5" t="s">
        <v>293</v>
      </c>
      <c r="F21" s="6" t="s">
        <v>161</v>
      </c>
      <c r="G21" s="6"/>
      <c r="H21" s="5" t="s">
        <v>546</v>
      </c>
    </row>
    <row r="22" spans="1:8" ht="15.75" x14ac:dyDescent="0.25">
      <c r="A22" s="4">
        <v>63004778</v>
      </c>
      <c r="B22" s="4">
        <v>873550001548</v>
      </c>
      <c r="C22" s="5" t="s">
        <v>1345</v>
      </c>
      <c r="D22" s="6" t="s">
        <v>10</v>
      </c>
      <c r="E22" s="5" t="s">
        <v>420</v>
      </c>
      <c r="F22" s="6" t="s">
        <v>155</v>
      </c>
      <c r="G22" s="6"/>
      <c r="H22" s="5" t="s">
        <v>640</v>
      </c>
    </row>
    <row r="23" spans="1:8" ht="15.75" x14ac:dyDescent="0.25">
      <c r="A23" s="4">
        <v>63004779</v>
      </c>
      <c r="B23" s="4">
        <v>963864001340</v>
      </c>
      <c r="C23" s="5" t="s">
        <v>1346</v>
      </c>
      <c r="D23" s="6" t="s">
        <v>10</v>
      </c>
      <c r="E23" s="5" t="s">
        <v>420</v>
      </c>
      <c r="F23" s="6" t="s">
        <v>155</v>
      </c>
      <c r="G23" s="6"/>
      <c r="H23" s="5" t="s">
        <v>641</v>
      </c>
    </row>
    <row r="24" spans="1:8" ht="15.75" x14ac:dyDescent="0.25">
      <c r="A24" s="4">
        <v>63004781</v>
      </c>
      <c r="B24" s="4">
        <v>964426000548</v>
      </c>
      <c r="C24" s="5" t="s">
        <v>2056</v>
      </c>
      <c r="D24" s="6" t="s">
        <v>10</v>
      </c>
      <c r="E24" s="5" t="s">
        <v>420</v>
      </c>
      <c r="F24" s="6" t="s">
        <v>155</v>
      </c>
      <c r="G24" s="6"/>
      <c r="H24" s="5" t="s">
        <v>547</v>
      </c>
    </row>
    <row r="25" spans="1:8" ht="15.75" x14ac:dyDescent="0.25">
      <c r="A25" s="4">
        <v>63004782</v>
      </c>
      <c r="B25" s="4">
        <v>971336003942</v>
      </c>
      <c r="C25" s="5" t="s">
        <v>36</v>
      </c>
      <c r="D25" s="6" t="s">
        <v>10</v>
      </c>
      <c r="E25" s="5" t="s">
        <v>420</v>
      </c>
      <c r="F25" s="6" t="s">
        <v>155</v>
      </c>
      <c r="G25" s="6"/>
      <c r="H25" s="5" t="s">
        <v>1269</v>
      </c>
    </row>
    <row r="26" spans="1:8" ht="15.75" x14ac:dyDescent="0.25">
      <c r="A26" s="4">
        <v>63007601</v>
      </c>
      <c r="B26" s="4">
        <v>650311004464</v>
      </c>
      <c r="C26" s="5" t="s">
        <v>1347</v>
      </c>
      <c r="D26" s="6" t="s">
        <v>10</v>
      </c>
      <c r="E26" s="9" t="s">
        <v>541</v>
      </c>
      <c r="F26" s="10" t="s">
        <v>541</v>
      </c>
      <c r="G26" s="6"/>
      <c r="H26" s="5" t="s">
        <v>642</v>
      </c>
    </row>
    <row r="27" spans="1:8" ht="15.75" x14ac:dyDescent="0.25">
      <c r="A27" s="4">
        <v>63010970</v>
      </c>
      <c r="B27" s="4">
        <v>873448002442</v>
      </c>
      <c r="C27" s="5" t="s">
        <v>37</v>
      </c>
      <c r="D27" s="6" t="s">
        <v>10</v>
      </c>
      <c r="E27" s="5" t="s">
        <v>194</v>
      </c>
      <c r="F27" s="6" t="s">
        <v>161</v>
      </c>
      <c r="G27" s="6"/>
      <c r="H27" s="5" t="s">
        <v>1270</v>
      </c>
    </row>
    <row r="28" spans="1:8" ht="15.75" x14ac:dyDescent="0.25">
      <c r="A28" s="4">
        <v>63010971</v>
      </c>
      <c r="B28" s="4">
        <v>882173004540</v>
      </c>
      <c r="C28" s="5" t="s">
        <v>1348</v>
      </c>
      <c r="D28" s="6" t="s">
        <v>10</v>
      </c>
      <c r="E28" s="5" t="s">
        <v>194</v>
      </c>
      <c r="F28" s="6" t="s">
        <v>161</v>
      </c>
      <c r="G28" s="6"/>
      <c r="H28" s="5" t="s">
        <v>643</v>
      </c>
    </row>
    <row r="29" spans="1:8" ht="15.75" x14ac:dyDescent="0.25">
      <c r="A29" s="4">
        <v>63010975</v>
      </c>
      <c r="B29" s="4">
        <v>850096030744</v>
      </c>
      <c r="C29" s="5" t="s">
        <v>1349</v>
      </c>
      <c r="D29" s="6" t="s">
        <v>10</v>
      </c>
      <c r="E29" s="5" t="s">
        <v>194</v>
      </c>
      <c r="F29" s="6" t="s">
        <v>161</v>
      </c>
      <c r="G29" s="6"/>
      <c r="H29" s="5" t="s">
        <v>644</v>
      </c>
    </row>
    <row r="30" spans="1:8" ht="15.75" x14ac:dyDescent="0.25">
      <c r="A30" s="4">
        <v>63010977</v>
      </c>
      <c r="B30" s="4">
        <v>981520000953</v>
      </c>
      <c r="C30" s="5" t="s">
        <v>1350</v>
      </c>
      <c r="D30" s="6" t="s">
        <v>10</v>
      </c>
      <c r="E30" s="5" t="s">
        <v>194</v>
      </c>
      <c r="F30" s="6" t="s">
        <v>161</v>
      </c>
      <c r="G30" s="6"/>
      <c r="H30" s="5" t="s">
        <v>645</v>
      </c>
    </row>
    <row r="31" spans="1:8" ht="15.75" x14ac:dyDescent="0.25">
      <c r="A31" s="4">
        <v>63010981</v>
      </c>
      <c r="B31" s="4">
        <v>980671015734</v>
      </c>
      <c r="C31" s="5" t="s">
        <v>1351</v>
      </c>
      <c r="D31" s="6" t="s">
        <v>10</v>
      </c>
      <c r="E31" s="5" t="s">
        <v>420</v>
      </c>
      <c r="F31" s="6" t="s">
        <v>155</v>
      </c>
      <c r="G31" s="6"/>
      <c r="H31" s="5" t="s">
        <v>646</v>
      </c>
    </row>
    <row r="32" spans="1:8" ht="15.75" x14ac:dyDescent="0.25">
      <c r="A32" s="4">
        <v>63010991</v>
      </c>
      <c r="B32" s="4">
        <v>961666003637</v>
      </c>
      <c r="C32" s="5" t="s">
        <v>2057</v>
      </c>
      <c r="D32" s="6" t="s">
        <v>10</v>
      </c>
      <c r="E32" s="5" t="s">
        <v>194</v>
      </c>
      <c r="F32" s="6" t="s">
        <v>161</v>
      </c>
      <c r="G32" s="6"/>
      <c r="H32" s="5" t="s">
        <v>548</v>
      </c>
    </row>
    <row r="33" spans="1:8" ht="15.75" x14ac:dyDescent="0.25">
      <c r="A33" s="4">
        <v>63014312</v>
      </c>
      <c r="B33" s="4">
        <v>695652000248</v>
      </c>
      <c r="C33" s="5" t="s">
        <v>1352</v>
      </c>
      <c r="D33" s="6" t="s">
        <v>10</v>
      </c>
      <c r="E33" s="9" t="s">
        <v>541</v>
      </c>
      <c r="F33" s="10" t="s">
        <v>541</v>
      </c>
      <c r="G33" s="6"/>
      <c r="H33" s="5" t="s">
        <v>647</v>
      </c>
    </row>
    <row r="34" spans="1:8" ht="15.75" x14ac:dyDescent="0.25">
      <c r="A34" s="4">
        <v>63044763</v>
      </c>
      <c r="B34" s="4">
        <v>923214000362</v>
      </c>
      <c r="C34" s="5" t="s">
        <v>38</v>
      </c>
      <c r="D34" s="6" t="s">
        <v>10</v>
      </c>
      <c r="E34" s="9" t="s">
        <v>541</v>
      </c>
      <c r="F34" s="10" t="s">
        <v>541</v>
      </c>
      <c r="G34" s="6"/>
      <c r="H34" s="5" t="s">
        <v>1271</v>
      </c>
    </row>
    <row r="35" spans="1:8" ht="15.75" x14ac:dyDescent="0.25">
      <c r="A35" s="4">
        <v>63001311</v>
      </c>
      <c r="B35" s="4">
        <v>821066005348</v>
      </c>
      <c r="C35" s="5" t="s">
        <v>1353</v>
      </c>
      <c r="D35" s="6" t="s">
        <v>39</v>
      </c>
      <c r="E35" s="5" t="s">
        <v>260</v>
      </c>
      <c r="F35" s="6" t="s">
        <v>161</v>
      </c>
      <c r="G35" s="6"/>
      <c r="H35" s="5" t="s">
        <v>648</v>
      </c>
    </row>
    <row r="36" spans="1:8" ht="15.75" x14ac:dyDescent="0.25">
      <c r="A36" s="4">
        <v>63001370</v>
      </c>
      <c r="B36" s="4">
        <v>834582000940</v>
      </c>
      <c r="C36" s="5" t="s">
        <v>1354</v>
      </c>
      <c r="D36" s="6" t="s">
        <v>39</v>
      </c>
      <c r="E36" s="5" t="s">
        <v>450</v>
      </c>
      <c r="F36" s="6" t="s">
        <v>161</v>
      </c>
      <c r="G36" s="6"/>
      <c r="H36" s="5" t="s">
        <v>649</v>
      </c>
    </row>
    <row r="37" spans="1:8" ht="15.75" x14ac:dyDescent="0.25">
      <c r="A37" s="4">
        <v>63001393</v>
      </c>
      <c r="B37" s="4">
        <v>801232006059</v>
      </c>
      <c r="C37" s="5" t="s">
        <v>1355</v>
      </c>
      <c r="D37" s="6" t="s">
        <v>39</v>
      </c>
      <c r="E37" s="5" t="s">
        <v>446</v>
      </c>
      <c r="F37" s="6" t="s">
        <v>161</v>
      </c>
      <c r="G37" s="6"/>
      <c r="H37" s="5" t="s">
        <v>650</v>
      </c>
    </row>
    <row r="38" spans="1:8" ht="15.75" x14ac:dyDescent="0.25">
      <c r="A38" s="4">
        <v>63001398</v>
      </c>
      <c r="B38" s="4">
        <v>830516008051</v>
      </c>
      <c r="C38" s="5" t="s">
        <v>1356</v>
      </c>
      <c r="D38" s="6" t="s">
        <v>39</v>
      </c>
      <c r="E38" s="5" t="s">
        <v>450</v>
      </c>
      <c r="F38" s="6" t="s">
        <v>161</v>
      </c>
      <c r="G38" s="6"/>
      <c r="H38" s="5" t="s">
        <v>651</v>
      </c>
    </row>
    <row r="39" spans="1:8" ht="15.75" x14ac:dyDescent="0.25">
      <c r="A39" s="4">
        <v>63001475</v>
      </c>
      <c r="B39" s="4">
        <v>773620001060</v>
      </c>
      <c r="C39" s="5" t="s">
        <v>1357</v>
      </c>
      <c r="D39" s="6" t="s">
        <v>39</v>
      </c>
      <c r="E39" s="5" t="s">
        <v>453</v>
      </c>
      <c r="F39" s="6" t="s">
        <v>155</v>
      </c>
      <c r="G39" s="6"/>
      <c r="H39" s="5" t="s">
        <v>652</v>
      </c>
    </row>
    <row r="40" spans="1:8" ht="15.75" x14ac:dyDescent="0.25">
      <c r="A40" s="4">
        <v>63001489</v>
      </c>
      <c r="B40" s="4">
        <v>926795000334</v>
      </c>
      <c r="C40" s="5" t="s">
        <v>40</v>
      </c>
      <c r="D40" s="6" t="s">
        <v>39</v>
      </c>
      <c r="E40" s="5" t="s">
        <v>160</v>
      </c>
      <c r="F40" s="6" t="s">
        <v>161</v>
      </c>
      <c r="G40" s="6"/>
      <c r="H40" s="5" t="s">
        <v>1272</v>
      </c>
    </row>
    <row r="41" spans="1:8" ht="15.75" x14ac:dyDescent="0.25">
      <c r="A41" s="4">
        <v>63001490</v>
      </c>
      <c r="B41" s="4">
        <v>922150004056</v>
      </c>
      <c r="C41" s="5" t="s">
        <v>41</v>
      </c>
      <c r="D41" s="6" t="s">
        <v>39</v>
      </c>
      <c r="E41" s="5" t="s">
        <v>160</v>
      </c>
      <c r="F41" s="6" t="s">
        <v>161</v>
      </c>
      <c r="G41" s="6">
        <f>_xlfn.XLOOKUP(DATA_TABLE[[#This Row],[Matricule]],GLOBAL!$B$2:$B$351,GLOBAL!$F$2:$F$351,"not found")</f>
        <v>21</v>
      </c>
      <c r="H41" s="5" t="s">
        <v>159</v>
      </c>
    </row>
    <row r="42" spans="1:8" ht="15.75" x14ac:dyDescent="0.25">
      <c r="A42" s="4">
        <v>63001491</v>
      </c>
      <c r="B42" s="4">
        <v>894656001240</v>
      </c>
      <c r="C42" s="5" t="s">
        <v>1358</v>
      </c>
      <c r="D42" s="6" t="s">
        <v>39</v>
      </c>
      <c r="E42" s="5" t="s">
        <v>447</v>
      </c>
      <c r="F42" s="6" t="s">
        <v>161</v>
      </c>
      <c r="G42" s="6"/>
      <c r="H42" s="5" t="s">
        <v>653</v>
      </c>
    </row>
    <row r="43" spans="1:8" ht="15.75" x14ac:dyDescent="0.25">
      <c r="A43" s="4">
        <v>63001492</v>
      </c>
      <c r="B43" s="4">
        <v>888429000240</v>
      </c>
      <c r="C43" s="5" t="s">
        <v>1359</v>
      </c>
      <c r="D43" s="6" t="s">
        <v>39</v>
      </c>
      <c r="E43" s="5" t="s">
        <v>363</v>
      </c>
      <c r="F43" s="6" t="s">
        <v>161</v>
      </c>
      <c r="G43" s="6"/>
      <c r="H43" s="5" t="s">
        <v>654</v>
      </c>
    </row>
    <row r="44" spans="1:8" ht="15.75" x14ac:dyDescent="0.25">
      <c r="A44" s="4">
        <v>63001495</v>
      </c>
      <c r="B44" s="4">
        <v>914155001252</v>
      </c>
      <c r="C44" s="5" t="s">
        <v>1360</v>
      </c>
      <c r="D44" s="6" t="s">
        <v>39</v>
      </c>
      <c r="E44" s="5" t="s">
        <v>448</v>
      </c>
      <c r="F44" s="6" t="s">
        <v>161</v>
      </c>
      <c r="G44" s="6"/>
      <c r="H44" s="5" t="s">
        <v>655</v>
      </c>
    </row>
    <row r="45" spans="1:8" ht="15.75" x14ac:dyDescent="0.25">
      <c r="A45" s="4">
        <v>63001497</v>
      </c>
      <c r="B45" s="4">
        <v>888528000240</v>
      </c>
      <c r="C45" s="5" t="s">
        <v>42</v>
      </c>
      <c r="D45" s="6" t="s">
        <v>39</v>
      </c>
      <c r="E45" s="9" t="s">
        <v>541</v>
      </c>
      <c r="F45" s="10" t="s">
        <v>541</v>
      </c>
      <c r="G45" s="6"/>
      <c r="H45" s="5" t="s">
        <v>1273</v>
      </c>
    </row>
    <row r="46" spans="1:8" ht="15.75" x14ac:dyDescent="0.25">
      <c r="A46" s="4">
        <v>63001597</v>
      </c>
      <c r="B46" s="4">
        <v>900549012945</v>
      </c>
      <c r="C46" s="5" t="s">
        <v>43</v>
      </c>
      <c r="D46" s="6" t="s">
        <v>39</v>
      </c>
      <c r="E46" s="5" t="s">
        <v>443</v>
      </c>
      <c r="F46" s="6" t="s">
        <v>161</v>
      </c>
      <c r="G46" s="6"/>
      <c r="H46" s="5" t="s">
        <v>1274</v>
      </c>
    </row>
    <row r="47" spans="1:8" ht="15.75" x14ac:dyDescent="0.25">
      <c r="A47" s="4">
        <v>63001601</v>
      </c>
      <c r="B47" s="4">
        <v>843023001262</v>
      </c>
      <c r="C47" s="5" t="s">
        <v>1361</v>
      </c>
      <c r="D47" s="6" t="s">
        <v>39</v>
      </c>
      <c r="E47" s="5" t="s">
        <v>451</v>
      </c>
      <c r="F47" s="6" t="s">
        <v>155</v>
      </c>
      <c r="G47" s="6"/>
      <c r="H47" s="5" t="s">
        <v>656</v>
      </c>
    </row>
    <row r="48" spans="1:8" ht="15.75" x14ac:dyDescent="0.25">
      <c r="A48" s="4">
        <v>63001602</v>
      </c>
      <c r="B48" s="4">
        <v>895543000543</v>
      </c>
      <c r="C48" s="5" t="s">
        <v>1362</v>
      </c>
      <c r="D48" s="6" t="s">
        <v>39</v>
      </c>
      <c r="E48" s="5" t="s">
        <v>452</v>
      </c>
      <c r="F48" s="6" t="s">
        <v>161</v>
      </c>
      <c r="G48" s="6"/>
      <c r="H48" s="5" t="s">
        <v>657</v>
      </c>
    </row>
    <row r="49" spans="1:8" ht="15.75" x14ac:dyDescent="0.25">
      <c r="A49" s="4">
        <v>63001613</v>
      </c>
      <c r="B49" s="4">
        <v>877303000452</v>
      </c>
      <c r="C49" s="5" t="s">
        <v>44</v>
      </c>
      <c r="D49" s="6" t="s">
        <v>39</v>
      </c>
      <c r="E49" s="9" t="s">
        <v>541</v>
      </c>
      <c r="F49" s="10" t="s">
        <v>541</v>
      </c>
      <c r="G49" s="6"/>
      <c r="H49" s="5" t="s">
        <v>1275</v>
      </c>
    </row>
    <row r="50" spans="1:8" ht="15.75" x14ac:dyDescent="0.25">
      <c r="A50" s="4">
        <v>63001636</v>
      </c>
      <c r="B50" s="4">
        <v>900264014054</v>
      </c>
      <c r="C50" s="5" t="s">
        <v>45</v>
      </c>
      <c r="D50" s="6" t="s">
        <v>39</v>
      </c>
      <c r="E50" s="5" t="s">
        <v>363</v>
      </c>
      <c r="F50" s="6" t="s">
        <v>161</v>
      </c>
      <c r="G50" s="6"/>
      <c r="H50" s="5" t="s">
        <v>362</v>
      </c>
    </row>
    <row r="51" spans="1:8" ht="15.75" x14ac:dyDescent="0.25">
      <c r="A51" s="4">
        <v>63001637</v>
      </c>
      <c r="B51" s="4">
        <v>778974000233</v>
      </c>
      <c r="C51" s="5" t="s">
        <v>1363</v>
      </c>
      <c r="D51" s="6" t="s">
        <v>39</v>
      </c>
      <c r="E51" s="9" t="s">
        <v>541</v>
      </c>
      <c r="F51" s="10" t="s">
        <v>541</v>
      </c>
      <c r="G51" s="6"/>
      <c r="H51" s="5" t="s">
        <v>658</v>
      </c>
    </row>
    <row r="52" spans="1:8" ht="15.75" x14ac:dyDescent="0.25">
      <c r="A52" s="4">
        <v>63001641</v>
      </c>
      <c r="B52" s="4">
        <v>932408003551</v>
      </c>
      <c r="C52" s="5" t="s">
        <v>46</v>
      </c>
      <c r="D52" s="6" t="s">
        <v>39</v>
      </c>
      <c r="E52" s="5" t="s">
        <v>369</v>
      </c>
      <c r="F52" s="6" t="s">
        <v>155</v>
      </c>
      <c r="G52" s="6"/>
      <c r="H52" s="5" t="s">
        <v>368</v>
      </c>
    </row>
    <row r="53" spans="1:8" ht="15.75" x14ac:dyDescent="0.25">
      <c r="A53" s="4">
        <v>63001651</v>
      </c>
      <c r="B53" s="4">
        <v>925511000259</v>
      </c>
      <c r="C53" s="5" t="s">
        <v>1364</v>
      </c>
      <c r="D53" s="6" t="s">
        <v>39</v>
      </c>
      <c r="E53" s="5" t="s">
        <v>160</v>
      </c>
      <c r="F53" s="6" t="s">
        <v>161</v>
      </c>
      <c r="G53" s="6"/>
      <c r="H53" s="5" t="s">
        <v>659</v>
      </c>
    </row>
    <row r="54" spans="1:8" ht="15.75" x14ac:dyDescent="0.25">
      <c r="A54" s="4">
        <v>63001652</v>
      </c>
      <c r="B54" s="4">
        <v>901224006849</v>
      </c>
      <c r="C54" s="5" t="s">
        <v>47</v>
      </c>
      <c r="D54" s="6" t="s">
        <v>39</v>
      </c>
      <c r="E54" s="5" t="s">
        <v>363</v>
      </c>
      <c r="F54" s="6" t="s">
        <v>161</v>
      </c>
      <c r="G54" s="6"/>
      <c r="H54" s="5" t="s">
        <v>1276</v>
      </c>
    </row>
    <row r="55" spans="1:8" ht="15.75" x14ac:dyDescent="0.25">
      <c r="A55" s="4">
        <v>63001653</v>
      </c>
      <c r="B55" s="4">
        <v>910103041763</v>
      </c>
      <c r="C55" s="5" t="s">
        <v>48</v>
      </c>
      <c r="D55" s="6" t="s">
        <v>39</v>
      </c>
      <c r="E55" s="5" t="s">
        <v>441</v>
      </c>
      <c r="F55" s="6" t="s">
        <v>161</v>
      </c>
      <c r="G55" s="6"/>
      <c r="H55" s="5" t="s">
        <v>1277</v>
      </c>
    </row>
    <row r="56" spans="1:8" ht="15.75" x14ac:dyDescent="0.25">
      <c r="A56" s="4">
        <v>63001905</v>
      </c>
      <c r="B56" s="4">
        <v>712595000250</v>
      </c>
      <c r="C56" s="5" t="s">
        <v>2058</v>
      </c>
      <c r="D56" s="6" t="s">
        <v>39</v>
      </c>
      <c r="E56" s="9" t="s">
        <v>541</v>
      </c>
      <c r="F56" s="10" t="s">
        <v>541</v>
      </c>
      <c r="G56" s="6"/>
      <c r="H56" s="5" t="s">
        <v>549</v>
      </c>
    </row>
    <row r="57" spans="1:8" ht="15.75" x14ac:dyDescent="0.25">
      <c r="A57" s="4">
        <v>63001909</v>
      </c>
      <c r="B57" s="4">
        <v>803548002646</v>
      </c>
      <c r="C57" s="5" t="s">
        <v>49</v>
      </c>
      <c r="D57" s="6" t="s">
        <v>39</v>
      </c>
      <c r="E57" s="5" t="s">
        <v>260</v>
      </c>
      <c r="F57" s="6" t="s">
        <v>161</v>
      </c>
      <c r="G57" s="6">
        <f>_xlfn.XLOOKUP(DATA_TABLE[[#This Row],[Matricule]],GLOBAL!$B$2:$B$351,GLOBAL!$F$2:$F$351,"not found")</f>
        <v>23</v>
      </c>
      <c r="H57" s="5" t="s">
        <v>259</v>
      </c>
    </row>
    <row r="58" spans="1:8" ht="15.75" x14ac:dyDescent="0.25">
      <c r="A58" s="4">
        <v>63001964</v>
      </c>
      <c r="B58" s="4">
        <v>816986000336</v>
      </c>
      <c r="C58" s="5" t="s">
        <v>50</v>
      </c>
      <c r="D58" s="6" t="s">
        <v>39</v>
      </c>
      <c r="E58" s="5" t="s">
        <v>260</v>
      </c>
      <c r="F58" s="6" t="s">
        <v>161</v>
      </c>
      <c r="G58" s="6"/>
      <c r="H58" s="5" t="s">
        <v>1278</v>
      </c>
    </row>
    <row r="59" spans="1:8" ht="15.75" x14ac:dyDescent="0.25">
      <c r="A59" s="4">
        <v>63004382</v>
      </c>
      <c r="B59" s="4">
        <v>831647001253</v>
      </c>
      <c r="C59" s="5" t="s">
        <v>51</v>
      </c>
      <c r="D59" s="6" t="s">
        <v>39</v>
      </c>
      <c r="E59" s="5" t="s">
        <v>449</v>
      </c>
      <c r="F59" s="6" t="s">
        <v>161</v>
      </c>
      <c r="G59" s="6"/>
      <c r="H59" s="5" t="s">
        <v>1279</v>
      </c>
    </row>
    <row r="60" spans="1:8" ht="15.75" x14ac:dyDescent="0.25">
      <c r="A60" s="4">
        <v>63004773</v>
      </c>
      <c r="B60" s="4">
        <v>921314008943</v>
      </c>
      <c r="C60" s="5" t="s">
        <v>1365</v>
      </c>
      <c r="D60" s="6" t="s">
        <v>39</v>
      </c>
      <c r="E60" s="5" t="s">
        <v>444</v>
      </c>
      <c r="F60" s="6" t="s">
        <v>155</v>
      </c>
      <c r="G60" s="6"/>
      <c r="H60" s="5" t="s">
        <v>660</v>
      </c>
    </row>
    <row r="61" spans="1:8" ht="15.75" x14ac:dyDescent="0.25">
      <c r="A61" s="4">
        <v>63004792</v>
      </c>
      <c r="B61" s="4">
        <v>840148019241</v>
      </c>
      <c r="C61" s="5" t="s">
        <v>1366</v>
      </c>
      <c r="D61" s="6" t="s">
        <v>39</v>
      </c>
      <c r="E61" s="5" t="s">
        <v>454</v>
      </c>
      <c r="F61" s="6" t="s">
        <v>231</v>
      </c>
      <c r="G61" s="6"/>
      <c r="H61" s="5" t="s">
        <v>661</v>
      </c>
    </row>
    <row r="62" spans="1:8" ht="15.75" x14ac:dyDescent="0.25">
      <c r="A62" s="4">
        <v>63004988</v>
      </c>
      <c r="B62" s="4">
        <v>843940002349</v>
      </c>
      <c r="C62" s="5" t="s">
        <v>1367</v>
      </c>
      <c r="D62" s="6" t="s">
        <v>39</v>
      </c>
      <c r="E62" s="9" t="s">
        <v>541</v>
      </c>
      <c r="F62" s="10" t="s">
        <v>541</v>
      </c>
      <c r="G62" s="6"/>
      <c r="H62" s="5" t="s">
        <v>662</v>
      </c>
    </row>
    <row r="63" spans="1:8" ht="15.75" x14ac:dyDescent="0.25">
      <c r="A63" s="4">
        <v>63010431</v>
      </c>
      <c r="B63" s="4">
        <v>730682005642</v>
      </c>
      <c r="C63" s="5" t="s">
        <v>1368</v>
      </c>
      <c r="D63" s="6" t="s">
        <v>39</v>
      </c>
      <c r="E63" s="5" t="s">
        <v>442</v>
      </c>
      <c r="F63" s="6" t="s">
        <v>161</v>
      </c>
      <c r="G63" s="6"/>
      <c r="H63" s="5" t="s">
        <v>663</v>
      </c>
    </row>
    <row r="64" spans="1:8" ht="15.75" x14ac:dyDescent="0.25">
      <c r="A64" s="4">
        <v>63010930</v>
      </c>
      <c r="B64" s="4">
        <v>970406018938</v>
      </c>
      <c r="C64" s="5" t="s">
        <v>2059</v>
      </c>
      <c r="D64" s="6" t="s">
        <v>39</v>
      </c>
      <c r="E64" s="5" t="s">
        <v>160</v>
      </c>
      <c r="F64" s="6" t="s">
        <v>161</v>
      </c>
      <c r="G64" s="6"/>
      <c r="H64" s="5" t="s">
        <v>550</v>
      </c>
    </row>
    <row r="65" spans="1:8" ht="15.75" x14ac:dyDescent="0.25">
      <c r="A65" s="4">
        <v>63011090</v>
      </c>
      <c r="B65" s="4">
        <v>960538004840</v>
      </c>
      <c r="C65" s="5" t="s">
        <v>52</v>
      </c>
      <c r="D65" s="6" t="s">
        <v>39</v>
      </c>
      <c r="E65" s="5" t="s">
        <v>445</v>
      </c>
      <c r="F65" s="6" t="s">
        <v>155</v>
      </c>
      <c r="G65" s="6"/>
      <c r="H65" s="5" t="s">
        <v>329</v>
      </c>
    </row>
    <row r="66" spans="1:8" ht="15.75" x14ac:dyDescent="0.25">
      <c r="A66" s="4">
        <v>63030546</v>
      </c>
      <c r="B66" s="4">
        <v>825735000350</v>
      </c>
      <c r="C66" s="5" t="s">
        <v>1369</v>
      </c>
      <c r="D66" s="6" t="s">
        <v>39</v>
      </c>
      <c r="E66" s="5" t="s">
        <v>444</v>
      </c>
      <c r="F66" s="6" t="s">
        <v>155</v>
      </c>
      <c r="G66" s="6"/>
      <c r="H66" s="5" t="s">
        <v>664</v>
      </c>
    </row>
    <row r="67" spans="1:8" ht="15.75" x14ac:dyDescent="0.25">
      <c r="A67" s="4">
        <v>63030547</v>
      </c>
      <c r="B67" s="4">
        <v>867672000239</v>
      </c>
      <c r="C67" s="5" t="s">
        <v>1370</v>
      </c>
      <c r="D67" s="6" t="s">
        <v>39</v>
      </c>
      <c r="E67" s="5" t="s">
        <v>445</v>
      </c>
      <c r="F67" s="6" t="s">
        <v>155</v>
      </c>
      <c r="G67" s="6"/>
      <c r="H67" s="5" t="s">
        <v>665</v>
      </c>
    </row>
    <row r="68" spans="1:8" ht="15.75" x14ac:dyDescent="0.25">
      <c r="A68" s="4">
        <v>63050422</v>
      </c>
      <c r="B68" s="4">
        <v>862641003646</v>
      </c>
      <c r="C68" s="5" t="s">
        <v>1371</v>
      </c>
      <c r="D68" s="6" t="s">
        <v>39</v>
      </c>
      <c r="E68" s="9" t="s">
        <v>541</v>
      </c>
      <c r="F68" s="10" t="s">
        <v>541</v>
      </c>
      <c r="G68" s="6"/>
      <c r="H68" s="5" t="s">
        <v>666</v>
      </c>
    </row>
    <row r="69" spans="1:8" ht="15.75" x14ac:dyDescent="0.25">
      <c r="A69" s="4">
        <v>63001303</v>
      </c>
      <c r="B69" s="4">
        <v>790115032259</v>
      </c>
      <c r="C69" s="5" t="s">
        <v>53</v>
      </c>
      <c r="D69" s="6" t="s">
        <v>13</v>
      </c>
      <c r="E69" s="5" t="s">
        <v>462</v>
      </c>
      <c r="F69" s="6" t="s">
        <v>161</v>
      </c>
      <c r="G69" s="6"/>
      <c r="H69" s="5" t="s">
        <v>1280</v>
      </c>
    </row>
    <row r="70" spans="1:8" ht="15.75" x14ac:dyDescent="0.25">
      <c r="A70" s="4">
        <v>63001326</v>
      </c>
      <c r="B70" s="4">
        <v>730560006053</v>
      </c>
      <c r="C70" s="5" t="s">
        <v>1372</v>
      </c>
      <c r="D70" s="6" t="s">
        <v>13</v>
      </c>
      <c r="E70" s="5" t="s">
        <v>178</v>
      </c>
      <c r="F70" s="6" t="s">
        <v>155</v>
      </c>
      <c r="G70" s="6"/>
      <c r="H70" s="5" t="s">
        <v>667</v>
      </c>
    </row>
    <row r="71" spans="1:8" ht="15.75" x14ac:dyDescent="0.25">
      <c r="A71" s="4">
        <v>63001327</v>
      </c>
      <c r="B71" s="4">
        <v>780789005827</v>
      </c>
      <c r="C71" s="5" t="s">
        <v>1373</v>
      </c>
      <c r="D71" s="6" t="s">
        <v>13</v>
      </c>
      <c r="E71" s="5" t="s">
        <v>185</v>
      </c>
      <c r="F71" s="6" t="s">
        <v>161</v>
      </c>
      <c r="G71" s="6">
        <f>_xlfn.XLOOKUP(DATA_TABLE[[#This Row],[Matricule]],GLOBAL!$B$2:$B$351,GLOBAL!$F$2:$F$351,"not found")</f>
        <v>21</v>
      </c>
      <c r="H71" s="5" t="s">
        <v>197</v>
      </c>
    </row>
    <row r="72" spans="1:8" ht="15.75" x14ac:dyDescent="0.25">
      <c r="A72" s="4">
        <v>63001350</v>
      </c>
      <c r="B72" s="4">
        <v>850128006548</v>
      </c>
      <c r="C72" s="5" t="s">
        <v>1374</v>
      </c>
      <c r="D72" s="6" t="s">
        <v>13</v>
      </c>
      <c r="E72" s="5" t="s">
        <v>456</v>
      </c>
      <c r="F72" s="6" t="s">
        <v>161</v>
      </c>
      <c r="G72" s="6"/>
      <c r="H72" s="5" t="s">
        <v>668</v>
      </c>
    </row>
    <row r="73" spans="1:8" ht="15.75" x14ac:dyDescent="0.25">
      <c r="A73" s="4">
        <v>63001359</v>
      </c>
      <c r="B73" s="4">
        <v>860478005338</v>
      </c>
      <c r="C73" s="5" t="s">
        <v>1375</v>
      </c>
      <c r="D73" s="6" t="s">
        <v>13</v>
      </c>
      <c r="E73" s="5" t="s">
        <v>185</v>
      </c>
      <c r="F73" s="6" t="s">
        <v>155</v>
      </c>
      <c r="G73" s="6"/>
      <c r="H73" s="5" t="s">
        <v>669</v>
      </c>
    </row>
    <row r="74" spans="1:8" ht="15.75" x14ac:dyDescent="0.25">
      <c r="A74" s="4">
        <v>63001445</v>
      </c>
      <c r="B74" s="4">
        <v>890302009249</v>
      </c>
      <c r="C74" s="5" t="s">
        <v>1376</v>
      </c>
      <c r="D74" s="6" t="s">
        <v>13</v>
      </c>
      <c r="E74" s="5" t="s">
        <v>456</v>
      </c>
      <c r="F74" s="6" t="s">
        <v>161</v>
      </c>
      <c r="G74" s="6"/>
      <c r="H74" s="5" t="s">
        <v>670</v>
      </c>
    </row>
    <row r="75" spans="1:8" ht="15.75" x14ac:dyDescent="0.25">
      <c r="A75" s="4">
        <v>63001446</v>
      </c>
      <c r="B75" s="4">
        <v>910299014438</v>
      </c>
      <c r="C75" s="5" t="s">
        <v>1377</v>
      </c>
      <c r="D75" s="6" t="s">
        <v>13</v>
      </c>
      <c r="E75" s="5" t="s">
        <v>456</v>
      </c>
      <c r="F75" s="6" t="s">
        <v>161</v>
      </c>
      <c r="G75" s="6"/>
      <c r="H75" s="5" t="s">
        <v>671</v>
      </c>
    </row>
    <row r="76" spans="1:8" ht="15.75" x14ac:dyDescent="0.25">
      <c r="A76" s="4">
        <v>63001447</v>
      </c>
      <c r="B76" s="4">
        <v>895131001351</v>
      </c>
      <c r="C76" s="5" t="s">
        <v>1378</v>
      </c>
      <c r="D76" s="6" t="s">
        <v>13</v>
      </c>
      <c r="E76" s="5" t="s">
        <v>456</v>
      </c>
      <c r="F76" s="6" t="s">
        <v>161</v>
      </c>
      <c r="G76" s="6"/>
      <c r="H76" s="5" t="s">
        <v>672</v>
      </c>
    </row>
    <row r="77" spans="1:8" ht="15.75" x14ac:dyDescent="0.25">
      <c r="A77" s="4">
        <v>63001448</v>
      </c>
      <c r="B77" s="4">
        <v>891448002642</v>
      </c>
      <c r="C77" s="5" t="s">
        <v>1379</v>
      </c>
      <c r="D77" s="6" t="s">
        <v>13</v>
      </c>
      <c r="E77" s="5" t="s">
        <v>178</v>
      </c>
      <c r="F77" s="6" t="s">
        <v>155</v>
      </c>
      <c r="G77" s="6"/>
      <c r="H77" s="5" t="s">
        <v>308</v>
      </c>
    </row>
    <row r="78" spans="1:8" ht="15.75" x14ac:dyDescent="0.25">
      <c r="A78" s="4">
        <v>63001449</v>
      </c>
      <c r="B78" s="4">
        <v>881695001339</v>
      </c>
      <c r="C78" s="5" t="s">
        <v>1380</v>
      </c>
      <c r="D78" s="6" t="s">
        <v>13</v>
      </c>
      <c r="E78" s="5" t="s">
        <v>456</v>
      </c>
      <c r="F78" s="6" t="s">
        <v>161</v>
      </c>
      <c r="G78" s="6"/>
      <c r="H78" s="5" t="s">
        <v>673</v>
      </c>
    </row>
    <row r="79" spans="1:8" ht="15.75" x14ac:dyDescent="0.25">
      <c r="A79" s="4">
        <v>63001450</v>
      </c>
      <c r="B79" s="4">
        <v>880571013543</v>
      </c>
      <c r="C79" s="5" t="s">
        <v>1381</v>
      </c>
      <c r="D79" s="6" t="s">
        <v>13</v>
      </c>
      <c r="E79" s="5" t="s">
        <v>456</v>
      </c>
      <c r="F79" s="6" t="s">
        <v>161</v>
      </c>
      <c r="G79" s="6"/>
      <c r="H79" s="5" t="s">
        <v>674</v>
      </c>
    </row>
    <row r="80" spans="1:8" ht="15.75" x14ac:dyDescent="0.25">
      <c r="A80" s="4">
        <v>63001451</v>
      </c>
      <c r="B80" s="4">
        <v>870206014356</v>
      </c>
      <c r="C80" s="5" t="s">
        <v>1382</v>
      </c>
      <c r="D80" s="6" t="s">
        <v>13</v>
      </c>
      <c r="E80" s="5" t="s">
        <v>178</v>
      </c>
      <c r="F80" s="6" t="s">
        <v>155</v>
      </c>
      <c r="G80" s="6">
        <f>_xlfn.XLOOKUP(DATA_TABLE[[#This Row],[Matricule]],GLOBAL!$B$2:$B$351,GLOBAL!$F$2:$F$351,"not found")</f>
        <v>20</v>
      </c>
      <c r="H80" s="5" t="s">
        <v>265</v>
      </c>
    </row>
    <row r="81" spans="1:8" ht="15.75" x14ac:dyDescent="0.25">
      <c r="A81" s="4">
        <v>63001452</v>
      </c>
      <c r="B81" s="4">
        <v>901145003455</v>
      </c>
      <c r="C81" s="5" t="s">
        <v>1383</v>
      </c>
      <c r="D81" s="6" t="s">
        <v>13</v>
      </c>
      <c r="E81" s="5" t="s">
        <v>328</v>
      </c>
      <c r="F81" s="6" t="s">
        <v>155</v>
      </c>
      <c r="G81" s="6"/>
      <c r="H81" s="5" t="s">
        <v>327</v>
      </c>
    </row>
    <row r="82" spans="1:8" ht="15.75" x14ac:dyDescent="0.25">
      <c r="A82" s="4">
        <v>63001453</v>
      </c>
      <c r="B82" s="4">
        <v>860023045650</v>
      </c>
      <c r="C82" s="5" t="s">
        <v>1384</v>
      </c>
      <c r="D82" s="6" t="s">
        <v>13</v>
      </c>
      <c r="E82" s="5" t="s">
        <v>456</v>
      </c>
      <c r="F82" s="6" t="s">
        <v>161</v>
      </c>
      <c r="G82" s="6"/>
      <c r="H82" s="5" t="s">
        <v>675</v>
      </c>
    </row>
    <row r="83" spans="1:8" ht="15.75" x14ac:dyDescent="0.25">
      <c r="A83" s="4">
        <v>63001454</v>
      </c>
      <c r="B83" s="4">
        <v>850257011947</v>
      </c>
      <c r="C83" s="5" t="s">
        <v>1385</v>
      </c>
      <c r="D83" s="6" t="s">
        <v>13</v>
      </c>
      <c r="E83" s="5" t="s">
        <v>178</v>
      </c>
      <c r="F83" s="6" t="s">
        <v>155</v>
      </c>
      <c r="G83" s="6">
        <f>_xlfn.XLOOKUP(DATA_TABLE[[#This Row],[Matricule]],GLOBAL!$B$2:$B$351,GLOBAL!$F$2:$F$351,"not found")</f>
        <v>20</v>
      </c>
      <c r="H83" s="5" t="s">
        <v>676</v>
      </c>
    </row>
    <row r="84" spans="1:8" ht="15.75" x14ac:dyDescent="0.25">
      <c r="A84" s="4">
        <v>63001455</v>
      </c>
      <c r="B84" s="4">
        <v>900974007535</v>
      </c>
      <c r="C84" s="5" t="s">
        <v>1386</v>
      </c>
      <c r="D84" s="6" t="s">
        <v>13</v>
      </c>
      <c r="E84" s="5" t="s">
        <v>296</v>
      </c>
      <c r="F84" s="6" t="s">
        <v>161</v>
      </c>
      <c r="G84" s="6"/>
      <c r="H84" s="5" t="s">
        <v>295</v>
      </c>
    </row>
    <row r="85" spans="1:8" ht="15.75" x14ac:dyDescent="0.25">
      <c r="A85" s="4">
        <v>63001456</v>
      </c>
      <c r="B85" s="4">
        <v>890201023162</v>
      </c>
      <c r="C85" s="5" t="s">
        <v>1387</v>
      </c>
      <c r="D85" s="6" t="s">
        <v>13</v>
      </c>
      <c r="E85" s="5" t="s">
        <v>178</v>
      </c>
      <c r="F85" s="6" t="s">
        <v>155</v>
      </c>
      <c r="G85" s="6">
        <f>_xlfn.XLOOKUP(DATA_TABLE[[#This Row],[Matricule]],GLOBAL!$B$2:$B$351,GLOBAL!$F$2:$F$351,"not found")</f>
        <v>20</v>
      </c>
      <c r="H85" s="5" t="s">
        <v>244</v>
      </c>
    </row>
    <row r="86" spans="1:8" ht="15.75" x14ac:dyDescent="0.25">
      <c r="A86" s="4">
        <v>63001457</v>
      </c>
      <c r="B86" s="4">
        <v>880364014938</v>
      </c>
      <c r="C86" s="5" t="s">
        <v>1388</v>
      </c>
      <c r="D86" s="6" t="s">
        <v>13</v>
      </c>
      <c r="E86" s="5" t="s">
        <v>461</v>
      </c>
      <c r="F86" s="6" t="s">
        <v>161</v>
      </c>
      <c r="G86" s="6"/>
      <c r="H86" s="5" t="s">
        <v>677</v>
      </c>
    </row>
    <row r="87" spans="1:8" ht="15.75" x14ac:dyDescent="0.25">
      <c r="A87" s="4">
        <v>63001458</v>
      </c>
      <c r="B87" s="4">
        <v>891157006834</v>
      </c>
      <c r="C87" s="5" t="s">
        <v>1389</v>
      </c>
      <c r="D87" s="6" t="s">
        <v>13</v>
      </c>
      <c r="E87" s="5" t="s">
        <v>456</v>
      </c>
      <c r="F87" s="6" t="s">
        <v>161</v>
      </c>
      <c r="G87" s="6"/>
      <c r="H87" s="5" t="s">
        <v>678</v>
      </c>
    </row>
    <row r="88" spans="1:8" ht="15.75" x14ac:dyDescent="0.25">
      <c r="A88" s="4">
        <v>63001459</v>
      </c>
      <c r="B88" s="4">
        <v>910027029049</v>
      </c>
      <c r="C88" s="5" t="s">
        <v>1390</v>
      </c>
      <c r="D88" s="6" t="s">
        <v>13</v>
      </c>
      <c r="E88" s="5" t="s">
        <v>203</v>
      </c>
      <c r="F88" s="6" t="s">
        <v>155</v>
      </c>
      <c r="G88" s="6">
        <f>_xlfn.XLOOKUP(DATA_TABLE[[#This Row],[Matricule]],GLOBAL!$B$2:$B$351,GLOBAL!$F$2:$F$351,"not found")</f>
        <v>20</v>
      </c>
      <c r="H88" s="5" t="s">
        <v>202</v>
      </c>
    </row>
    <row r="89" spans="1:8" ht="15.75" x14ac:dyDescent="0.25">
      <c r="A89" s="4">
        <v>63001460</v>
      </c>
      <c r="B89" s="4">
        <v>885727000641</v>
      </c>
      <c r="C89" s="5" t="s">
        <v>1391</v>
      </c>
      <c r="D89" s="6" t="s">
        <v>13</v>
      </c>
      <c r="E89" s="5" t="s">
        <v>178</v>
      </c>
      <c r="F89" s="6" t="s">
        <v>155</v>
      </c>
      <c r="G89" s="6"/>
      <c r="H89" s="5" t="s">
        <v>679</v>
      </c>
    </row>
    <row r="90" spans="1:8" ht="15.75" x14ac:dyDescent="0.25">
      <c r="A90" s="4">
        <v>63001476</v>
      </c>
      <c r="B90" s="4">
        <v>870274003743</v>
      </c>
      <c r="C90" s="5" t="s">
        <v>1392</v>
      </c>
      <c r="D90" s="6" t="s">
        <v>13</v>
      </c>
      <c r="E90" s="5" t="s">
        <v>178</v>
      </c>
      <c r="F90" s="6" t="s">
        <v>155</v>
      </c>
      <c r="G90" s="6"/>
      <c r="H90" s="5" t="s">
        <v>307</v>
      </c>
    </row>
    <row r="91" spans="1:8" ht="15.75" x14ac:dyDescent="0.25">
      <c r="A91" s="4">
        <v>63001477</v>
      </c>
      <c r="B91" s="4">
        <v>891172007140</v>
      </c>
      <c r="C91" s="5" t="s">
        <v>1393</v>
      </c>
      <c r="D91" s="6" t="s">
        <v>13</v>
      </c>
      <c r="E91" s="5" t="s">
        <v>178</v>
      </c>
      <c r="F91" s="6" t="s">
        <v>155</v>
      </c>
      <c r="G91" s="6"/>
      <c r="H91" s="5" t="s">
        <v>680</v>
      </c>
    </row>
    <row r="92" spans="1:8" ht="15.75" x14ac:dyDescent="0.25">
      <c r="A92" s="4">
        <v>63001478</v>
      </c>
      <c r="B92" s="4">
        <v>900541010957</v>
      </c>
      <c r="C92" s="5" t="s">
        <v>1394</v>
      </c>
      <c r="D92" s="6" t="s">
        <v>13</v>
      </c>
      <c r="E92" s="5" t="s">
        <v>456</v>
      </c>
      <c r="F92" s="6" t="s">
        <v>161</v>
      </c>
      <c r="G92" s="6"/>
      <c r="H92" s="5" t="s">
        <v>681</v>
      </c>
    </row>
    <row r="93" spans="1:8" ht="15.75" x14ac:dyDescent="0.25">
      <c r="A93" s="4">
        <v>63001480</v>
      </c>
      <c r="B93" s="4">
        <v>917732000546</v>
      </c>
      <c r="C93" s="5" t="s">
        <v>1395</v>
      </c>
      <c r="D93" s="6" t="s">
        <v>13</v>
      </c>
      <c r="E93" s="9" t="s">
        <v>541</v>
      </c>
      <c r="F93" s="10" t="s">
        <v>541</v>
      </c>
      <c r="G93" s="6"/>
      <c r="H93" s="5" t="s">
        <v>682</v>
      </c>
    </row>
    <row r="94" spans="1:8" ht="15.75" x14ac:dyDescent="0.25">
      <c r="A94" s="4">
        <v>63001485</v>
      </c>
      <c r="B94" s="4">
        <v>871045005546</v>
      </c>
      <c r="C94" s="5" t="s">
        <v>54</v>
      </c>
      <c r="D94" s="6" t="s">
        <v>13</v>
      </c>
      <c r="E94" s="9" t="s">
        <v>541</v>
      </c>
      <c r="F94" s="10" t="s">
        <v>541</v>
      </c>
      <c r="G94" s="6"/>
      <c r="H94" s="5" t="s">
        <v>1281</v>
      </c>
    </row>
    <row r="95" spans="1:8" ht="15.75" x14ac:dyDescent="0.25">
      <c r="A95" s="4">
        <v>63001510</v>
      </c>
      <c r="B95" s="4">
        <v>890067052046</v>
      </c>
      <c r="C95" s="5" t="s">
        <v>1396</v>
      </c>
      <c r="D95" s="6" t="s">
        <v>13</v>
      </c>
      <c r="E95" s="5" t="s">
        <v>178</v>
      </c>
      <c r="F95" s="6" t="s">
        <v>155</v>
      </c>
      <c r="G95" s="6"/>
      <c r="H95" s="5" t="s">
        <v>683</v>
      </c>
    </row>
    <row r="96" spans="1:8" ht="15.75" x14ac:dyDescent="0.25">
      <c r="A96" s="4">
        <v>63001522</v>
      </c>
      <c r="B96" s="4">
        <v>864412000259</v>
      </c>
      <c r="C96" s="5" t="s">
        <v>1397</v>
      </c>
      <c r="D96" s="6" t="s">
        <v>13</v>
      </c>
      <c r="E96" s="5" t="s">
        <v>178</v>
      </c>
      <c r="F96" s="6" t="s">
        <v>155</v>
      </c>
      <c r="G96" s="6"/>
      <c r="H96" s="5" t="s">
        <v>684</v>
      </c>
    </row>
    <row r="97" spans="1:8" ht="15.75" x14ac:dyDescent="0.25">
      <c r="A97" s="4">
        <v>63001525</v>
      </c>
      <c r="B97" s="4">
        <v>910813009346</v>
      </c>
      <c r="C97" s="5" t="s">
        <v>1398</v>
      </c>
      <c r="D97" s="6" t="s">
        <v>13</v>
      </c>
      <c r="E97" s="5" t="s">
        <v>178</v>
      </c>
      <c r="F97" s="6" t="s">
        <v>155</v>
      </c>
      <c r="G97" s="6"/>
      <c r="H97" s="5" t="s">
        <v>685</v>
      </c>
    </row>
    <row r="98" spans="1:8" ht="15.75" x14ac:dyDescent="0.25">
      <c r="A98" s="4">
        <v>63001535</v>
      </c>
      <c r="B98" s="4">
        <v>911442006943</v>
      </c>
      <c r="C98" s="5" t="s">
        <v>1399</v>
      </c>
      <c r="D98" s="6" t="s">
        <v>13</v>
      </c>
      <c r="E98" s="5" t="s">
        <v>167</v>
      </c>
      <c r="F98" s="6" t="s">
        <v>161</v>
      </c>
      <c r="G98" s="6"/>
      <c r="H98" s="5" t="s">
        <v>686</v>
      </c>
    </row>
    <row r="99" spans="1:8" ht="15.75" x14ac:dyDescent="0.25">
      <c r="A99" s="4">
        <v>63001537</v>
      </c>
      <c r="B99" s="4">
        <v>870155038338</v>
      </c>
      <c r="C99" s="5" t="s">
        <v>1400</v>
      </c>
      <c r="D99" s="6" t="s">
        <v>13</v>
      </c>
      <c r="E99" s="5" t="s">
        <v>167</v>
      </c>
      <c r="F99" s="6" t="s">
        <v>161</v>
      </c>
      <c r="G99" s="6"/>
      <c r="H99" s="5" t="s">
        <v>331</v>
      </c>
    </row>
    <row r="100" spans="1:8" ht="15.75" x14ac:dyDescent="0.25">
      <c r="A100" s="4">
        <v>63001542</v>
      </c>
      <c r="B100" s="4">
        <v>920047011259</v>
      </c>
      <c r="C100" s="5" t="s">
        <v>1401</v>
      </c>
      <c r="D100" s="6" t="s">
        <v>13</v>
      </c>
      <c r="E100" s="5" t="s">
        <v>178</v>
      </c>
      <c r="F100" s="6" t="s">
        <v>155</v>
      </c>
      <c r="G100" s="6"/>
      <c r="H100" s="5" t="s">
        <v>687</v>
      </c>
    </row>
    <row r="101" spans="1:8" ht="15.75" x14ac:dyDescent="0.25">
      <c r="A101" s="4">
        <v>63001550</v>
      </c>
      <c r="B101" s="4">
        <v>920138025844</v>
      </c>
      <c r="C101" s="5" t="s">
        <v>1402</v>
      </c>
      <c r="D101" s="6" t="s">
        <v>13</v>
      </c>
      <c r="E101" s="5" t="s">
        <v>178</v>
      </c>
      <c r="F101" s="6" t="s">
        <v>155</v>
      </c>
      <c r="G101" s="6">
        <f>_xlfn.XLOOKUP(DATA_TABLE[[#This Row],[Matricule]],GLOBAL!$B$2:$B$351,GLOBAL!$F$2:$F$351,"not found")</f>
        <v>20</v>
      </c>
      <c r="H101" s="5" t="s">
        <v>287</v>
      </c>
    </row>
    <row r="102" spans="1:8" ht="15.75" x14ac:dyDescent="0.25">
      <c r="A102" s="4">
        <v>63001553</v>
      </c>
      <c r="B102" s="4">
        <v>890809006738</v>
      </c>
      <c r="C102" s="5" t="s">
        <v>1403</v>
      </c>
      <c r="D102" s="6" t="s">
        <v>13</v>
      </c>
      <c r="E102" s="5" t="s">
        <v>178</v>
      </c>
      <c r="F102" s="6" t="s">
        <v>155</v>
      </c>
      <c r="G102" s="6"/>
      <c r="H102" s="5" t="s">
        <v>688</v>
      </c>
    </row>
    <row r="103" spans="1:8" ht="15.75" x14ac:dyDescent="0.25">
      <c r="A103" s="4">
        <v>63001555</v>
      </c>
      <c r="B103" s="4">
        <v>851948002245</v>
      </c>
      <c r="C103" s="5" t="s">
        <v>55</v>
      </c>
      <c r="D103" s="6" t="s">
        <v>13</v>
      </c>
      <c r="E103" s="5" t="s">
        <v>167</v>
      </c>
      <c r="F103" s="6" t="s">
        <v>161</v>
      </c>
      <c r="G103" s="6"/>
      <c r="H103" s="5" t="s">
        <v>376</v>
      </c>
    </row>
    <row r="104" spans="1:8" ht="15.75" x14ac:dyDescent="0.25">
      <c r="A104" s="4">
        <v>63001564</v>
      </c>
      <c r="B104" s="4">
        <v>899924000138</v>
      </c>
      <c r="C104" s="5" t="s">
        <v>1404</v>
      </c>
      <c r="D104" s="6" t="s">
        <v>13</v>
      </c>
      <c r="E104" s="5" t="s">
        <v>178</v>
      </c>
      <c r="F104" s="6" t="s">
        <v>155</v>
      </c>
      <c r="G104" s="6">
        <f>_xlfn.XLOOKUP(DATA_TABLE[[#This Row],[Matricule]],GLOBAL!$B$2:$B$351,GLOBAL!$F$2:$F$351,"not found")</f>
        <v>20</v>
      </c>
      <c r="H104" s="5" t="s">
        <v>232</v>
      </c>
    </row>
    <row r="105" spans="1:8" ht="15.75" x14ac:dyDescent="0.25">
      <c r="A105" s="4">
        <v>63001571</v>
      </c>
      <c r="B105" s="4">
        <v>907113000259</v>
      </c>
      <c r="C105" s="5" t="s">
        <v>1405</v>
      </c>
      <c r="D105" s="6" t="s">
        <v>13</v>
      </c>
      <c r="E105" s="5" t="s">
        <v>178</v>
      </c>
      <c r="F105" s="6" t="s">
        <v>155</v>
      </c>
      <c r="G105" s="6"/>
      <c r="H105" s="5" t="s">
        <v>689</v>
      </c>
    </row>
    <row r="106" spans="1:8" ht="15.75" x14ac:dyDescent="0.25">
      <c r="A106" s="4">
        <v>63001573</v>
      </c>
      <c r="B106" s="4">
        <v>910267021649</v>
      </c>
      <c r="C106" s="5" t="s">
        <v>1406</v>
      </c>
      <c r="D106" s="6" t="s">
        <v>13</v>
      </c>
      <c r="E106" s="5" t="s">
        <v>178</v>
      </c>
      <c r="F106" s="6" t="s">
        <v>155</v>
      </c>
      <c r="G106" s="6">
        <f>_xlfn.XLOOKUP(DATA_TABLE[[#This Row],[Matricule]],GLOBAL!$B$2:$B$351,GLOBAL!$F$2:$F$351,"not found")</f>
        <v>20</v>
      </c>
      <c r="H106" s="5" t="s">
        <v>273</v>
      </c>
    </row>
    <row r="107" spans="1:8" ht="15.75" x14ac:dyDescent="0.25">
      <c r="A107" s="4">
        <v>63001579</v>
      </c>
      <c r="B107" s="4">
        <v>898356000138</v>
      </c>
      <c r="C107" s="5" t="s">
        <v>1407</v>
      </c>
      <c r="D107" s="6" t="s">
        <v>13</v>
      </c>
      <c r="E107" s="5" t="s">
        <v>178</v>
      </c>
      <c r="F107" s="6" t="s">
        <v>155</v>
      </c>
      <c r="G107" s="6"/>
      <c r="H107" s="5" t="s">
        <v>690</v>
      </c>
    </row>
    <row r="108" spans="1:8" ht="15.75" x14ac:dyDescent="0.25">
      <c r="A108" s="4">
        <v>63001582</v>
      </c>
      <c r="B108" s="4">
        <v>900708008446</v>
      </c>
      <c r="C108" s="5" t="s">
        <v>56</v>
      </c>
      <c r="D108" s="6" t="s">
        <v>13</v>
      </c>
      <c r="E108" s="5" t="s">
        <v>328</v>
      </c>
      <c r="F108" s="6" t="s">
        <v>155</v>
      </c>
      <c r="G108" s="6"/>
      <c r="H108" s="5" t="s">
        <v>349</v>
      </c>
    </row>
    <row r="109" spans="1:8" ht="15.75" x14ac:dyDescent="0.25">
      <c r="A109" s="4">
        <v>63001589</v>
      </c>
      <c r="B109" s="4">
        <v>920179021249</v>
      </c>
      <c r="C109" s="5" t="s">
        <v>1408</v>
      </c>
      <c r="D109" s="6" t="s">
        <v>13</v>
      </c>
      <c r="E109" s="9" t="s">
        <v>541</v>
      </c>
      <c r="F109" s="10" t="s">
        <v>541</v>
      </c>
      <c r="G109" s="6"/>
      <c r="H109" s="5" t="s">
        <v>691</v>
      </c>
    </row>
    <row r="110" spans="1:8" ht="15.75" x14ac:dyDescent="0.25">
      <c r="A110" s="4">
        <v>63001591</v>
      </c>
      <c r="B110" s="4">
        <v>910239014549</v>
      </c>
      <c r="C110" s="5" t="s">
        <v>1409</v>
      </c>
      <c r="D110" s="6" t="s">
        <v>13</v>
      </c>
      <c r="E110" s="5" t="s">
        <v>178</v>
      </c>
      <c r="F110" s="6" t="s">
        <v>155</v>
      </c>
      <c r="G110" s="6"/>
      <c r="H110" s="5" t="s">
        <v>692</v>
      </c>
    </row>
    <row r="111" spans="1:8" ht="15.75" x14ac:dyDescent="0.25">
      <c r="A111" s="4">
        <v>63001592</v>
      </c>
      <c r="B111" s="4">
        <v>884731001447</v>
      </c>
      <c r="C111" s="5" t="s">
        <v>57</v>
      </c>
      <c r="D111" s="6" t="s">
        <v>13</v>
      </c>
      <c r="E111" s="5" t="s">
        <v>178</v>
      </c>
      <c r="F111" s="6" t="s">
        <v>155</v>
      </c>
      <c r="G111" s="6">
        <f>_xlfn.XLOOKUP(DATA_TABLE[[#This Row],[Matricule]],GLOBAL!$B$2:$B$351,GLOBAL!$F$2:$F$351,"not found")</f>
        <v>20</v>
      </c>
      <c r="H111" s="5" t="s">
        <v>264</v>
      </c>
    </row>
    <row r="112" spans="1:8" ht="15.75" x14ac:dyDescent="0.25">
      <c r="A112" s="4">
        <v>63001623</v>
      </c>
      <c r="B112" s="4">
        <v>921526006446</v>
      </c>
      <c r="C112" s="5" t="s">
        <v>58</v>
      </c>
      <c r="D112" s="6" t="s">
        <v>13</v>
      </c>
      <c r="E112" s="5" t="s">
        <v>201</v>
      </c>
      <c r="F112" s="6" t="s">
        <v>161</v>
      </c>
      <c r="G112" s="6">
        <f>_xlfn.XLOOKUP(DATA_TABLE[[#This Row],[Matricule]],GLOBAL!$B$2:$B$351,GLOBAL!$F$2:$F$351,"not found")</f>
        <v>21</v>
      </c>
      <c r="H112" s="5" t="s">
        <v>200</v>
      </c>
    </row>
    <row r="113" spans="1:8" ht="15.75" x14ac:dyDescent="0.25">
      <c r="A113" s="4">
        <v>63001687</v>
      </c>
      <c r="B113" s="4">
        <v>963156000448</v>
      </c>
      <c r="C113" s="5" t="s">
        <v>1410</v>
      </c>
      <c r="D113" s="6" t="s">
        <v>13</v>
      </c>
      <c r="E113" s="5" t="s">
        <v>178</v>
      </c>
      <c r="F113" s="6" t="s">
        <v>155</v>
      </c>
      <c r="G113" s="6"/>
      <c r="H113" s="5" t="s">
        <v>693</v>
      </c>
    </row>
    <row r="114" spans="1:8" ht="15.75" x14ac:dyDescent="0.25">
      <c r="A114" s="4">
        <v>63001688</v>
      </c>
      <c r="B114" s="4">
        <v>853341000654</v>
      </c>
      <c r="C114" s="5" t="s">
        <v>1411</v>
      </c>
      <c r="D114" s="6" t="s">
        <v>13</v>
      </c>
      <c r="E114" s="5" t="s">
        <v>306</v>
      </c>
      <c r="F114" s="6" t="s">
        <v>155</v>
      </c>
      <c r="G114" s="6"/>
      <c r="H114" s="5" t="s">
        <v>305</v>
      </c>
    </row>
    <row r="115" spans="1:8" ht="15.75" x14ac:dyDescent="0.25">
      <c r="A115" s="4">
        <v>63001689</v>
      </c>
      <c r="B115" s="4">
        <v>950969007329</v>
      </c>
      <c r="C115" s="5" t="s">
        <v>1412</v>
      </c>
      <c r="D115" s="6" t="s">
        <v>13</v>
      </c>
      <c r="E115" s="5" t="s">
        <v>178</v>
      </c>
      <c r="F115" s="6" t="s">
        <v>155</v>
      </c>
      <c r="G115" s="6">
        <f>_xlfn.XLOOKUP(DATA_TABLE[[#This Row],[Matricule]],GLOBAL!$B$2:$B$351,GLOBAL!$F$2:$F$351,"not found")</f>
        <v>20</v>
      </c>
      <c r="H115" s="5" t="s">
        <v>177</v>
      </c>
    </row>
    <row r="116" spans="1:8" ht="15.75" x14ac:dyDescent="0.25">
      <c r="A116" s="4">
        <v>63001690</v>
      </c>
      <c r="B116" s="4">
        <v>928533000247</v>
      </c>
      <c r="C116" s="5" t="s">
        <v>1413</v>
      </c>
      <c r="D116" s="6" t="s">
        <v>13</v>
      </c>
      <c r="E116" s="5" t="s">
        <v>217</v>
      </c>
      <c r="F116" s="6" t="s">
        <v>155</v>
      </c>
      <c r="G116" s="6"/>
      <c r="H116" s="5" t="s">
        <v>694</v>
      </c>
    </row>
    <row r="117" spans="1:8" ht="15.75" x14ac:dyDescent="0.25">
      <c r="A117" s="4">
        <v>63001691</v>
      </c>
      <c r="B117" s="4">
        <v>920896010244</v>
      </c>
      <c r="C117" s="5" t="s">
        <v>59</v>
      </c>
      <c r="D117" s="6" t="s">
        <v>13</v>
      </c>
      <c r="E117" s="5" t="s">
        <v>167</v>
      </c>
      <c r="F117" s="6" t="s">
        <v>161</v>
      </c>
      <c r="G117" s="6">
        <f>_xlfn.XLOOKUP(DATA_TABLE[[#This Row],[Matricule]],GLOBAL!$B$2:$B$351,GLOBAL!$F$2:$F$351,"not found")</f>
        <v>23</v>
      </c>
      <c r="H117" s="5" t="s">
        <v>166</v>
      </c>
    </row>
    <row r="118" spans="1:8" ht="15.75" x14ac:dyDescent="0.25">
      <c r="A118" s="4">
        <v>63001693</v>
      </c>
      <c r="B118" s="4">
        <v>903072003152</v>
      </c>
      <c r="C118" s="5" t="s">
        <v>1414</v>
      </c>
      <c r="D118" s="6" t="s">
        <v>13</v>
      </c>
      <c r="E118" s="5" t="s">
        <v>306</v>
      </c>
      <c r="F118" s="6" t="s">
        <v>155</v>
      </c>
      <c r="G118" s="6"/>
      <c r="H118" s="5" t="s">
        <v>695</v>
      </c>
    </row>
    <row r="119" spans="1:8" ht="15.75" x14ac:dyDescent="0.25">
      <c r="A119" s="4">
        <v>63001694</v>
      </c>
      <c r="B119" s="4">
        <v>920768012740</v>
      </c>
      <c r="C119" s="5" t="s">
        <v>1415</v>
      </c>
      <c r="D119" s="6" t="s">
        <v>13</v>
      </c>
      <c r="E119" s="9" t="s">
        <v>541</v>
      </c>
      <c r="F119" s="10" t="s">
        <v>541</v>
      </c>
      <c r="G119" s="6"/>
      <c r="H119" s="5" t="s">
        <v>696</v>
      </c>
    </row>
    <row r="120" spans="1:8" ht="15.75" x14ac:dyDescent="0.25">
      <c r="A120" s="4">
        <v>63001695</v>
      </c>
      <c r="B120" s="4">
        <v>934598000732</v>
      </c>
      <c r="C120" s="5" t="s">
        <v>60</v>
      </c>
      <c r="D120" s="6" t="s">
        <v>13</v>
      </c>
      <c r="E120" s="5" t="s">
        <v>183</v>
      </c>
      <c r="F120" s="6" t="s">
        <v>161</v>
      </c>
      <c r="G120" s="6"/>
      <c r="H120" s="5" t="s">
        <v>1282</v>
      </c>
    </row>
    <row r="121" spans="1:8" ht="15.75" x14ac:dyDescent="0.25">
      <c r="A121" s="4">
        <v>63001696</v>
      </c>
      <c r="B121" s="4">
        <v>941693002143</v>
      </c>
      <c r="C121" s="5" t="s">
        <v>1416</v>
      </c>
      <c r="D121" s="6" t="s">
        <v>13</v>
      </c>
      <c r="E121" s="5" t="s">
        <v>217</v>
      </c>
      <c r="F121" s="6" t="s">
        <v>155</v>
      </c>
      <c r="G121" s="6">
        <f>_xlfn.XLOOKUP(DATA_TABLE[[#This Row],[Matricule]],GLOBAL!$B$2:$B$351,GLOBAL!$F$2:$F$351,"not found")</f>
        <v>18</v>
      </c>
      <c r="H121" s="5" t="s">
        <v>216</v>
      </c>
    </row>
    <row r="122" spans="1:8" ht="15.75" x14ac:dyDescent="0.25">
      <c r="A122" s="4">
        <v>63001697</v>
      </c>
      <c r="B122" s="4">
        <v>923885000836</v>
      </c>
      <c r="C122" s="5" t="s">
        <v>61</v>
      </c>
      <c r="D122" s="6" t="s">
        <v>13</v>
      </c>
      <c r="E122" s="5" t="s">
        <v>167</v>
      </c>
      <c r="F122" s="6" t="s">
        <v>161</v>
      </c>
      <c r="G122" s="6"/>
      <c r="H122" s="5" t="s">
        <v>1283</v>
      </c>
    </row>
    <row r="123" spans="1:8" ht="15.75" x14ac:dyDescent="0.25">
      <c r="A123" s="4">
        <v>63001698</v>
      </c>
      <c r="B123" s="4">
        <v>910461009738</v>
      </c>
      <c r="C123" s="5" t="s">
        <v>1417</v>
      </c>
      <c r="D123" s="6" t="s">
        <v>13</v>
      </c>
      <c r="E123" s="5" t="s">
        <v>183</v>
      </c>
      <c r="F123" s="6" t="s">
        <v>161</v>
      </c>
      <c r="G123" s="6">
        <f>_xlfn.XLOOKUP(DATA_TABLE[[#This Row],[Matricule]],GLOBAL!$B$2:$B$351,GLOBAL!$F$2:$F$351,"not found")</f>
        <v>22</v>
      </c>
      <c r="H123" s="5" t="s">
        <v>182</v>
      </c>
    </row>
    <row r="124" spans="1:8" ht="15.75" x14ac:dyDescent="0.25">
      <c r="A124" s="4">
        <v>63001699</v>
      </c>
      <c r="B124" s="4">
        <v>890783001541</v>
      </c>
      <c r="C124" s="5" t="s">
        <v>1418</v>
      </c>
      <c r="D124" s="6" t="s">
        <v>13</v>
      </c>
      <c r="E124" s="5" t="s">
        <v>306</v>
      </c>
      <c r="F124" s="6" t="s">
        <v>155</v>
      </c>
      <c r="G124" s="6"/>
      <c r="H124" s="5" t="s">
        <v>697</v>
      </c>
    </row>
    <row r="125" spans="1:8" ht="15.75" x14ac:dyDescent="0.25">
      <c r="A125" s="4">
        <v>63001700</v>
      </c>
      <c r="B125" s="4">
        <v>882430004944</v>
      </c>
      <c r="C125" s="5" t="s">
        <v>1419</v>
      </c>
      <c r="D125" s="6" t="s">
        <v>13</v>
      </c>
      <c r="E125" s="5" t="s">
        <v>306</v>
      </c>
      <c r="F125" s="6" t="s">
        <v>155</v>
      </c>
      <c r="G125" s="6"/>
      <c r="H125" s="5" t="s">
        <v>698</v>
      </c>
    </row>
    <row r="126" spans="1:8" ht="15.75" x14ac:dyDescent="0.25">
      <c r="A126" s="4">
        <v>63001709</v>
      </c>
      <c r="B126" s="4">
        <v>931730005548</v>
      </c>
      <c r="C126" s="5" t="s">
        <v>1420</v>
      </c>
      <c r="D126" s="6" t="s">
        <v>13</v>
      </c>
      <c r="E126" s="5" t="s">
        <v>178</v>
      </c>
      <c r="F126" s="6" t="s">
        <v>155</v>
      </c>
      <c r="G126" s="6"/>
      <c r="H126" s="5" t="s">
        <v>699</v>
      </c>
    </row>
    <row r="127" spans="1:8" ht="15.75" x14ac:dyDescent="0.25">
      <c r="A127" s="4">
        <v>63001710</v>
      </c>
      <c r="B127" s="4">
        <v>930174020453</v>
      </c>
      <c r="C127" s="5" t="s">
        <v>1421</v>
      </c>
      <c r="D127" s="6" t="s">
        <v>13</v>
      </c>
      <c r="E127" s="5" t="s">
        <v>217</v>
      </c>
      <c r="F127" s="6" t="s">
        <v>155</v>
      </c>
      <c r="G127" s="6"/>
      <c r="H127" s="5" t="s">
        <v>383</v>
      </c>
    </row>
    <row r="128" spans="1:8" ht="15.75" x14ac:dyDescent="0.25">
      <c r="A128" s="4">
        <v>63001711</v>
      </c>
      <c r="B128" s="4">
        <v>921218005154</v>
      </c>
      <c r="C128" s="5" t="s">
        <v>1422</v>
      </c>
      <c r="D128" s="6" t="s">
        <v>13</v>
      </c>
      <c r="E128" s="5" t="s">
        <v>306</v>
      </c>
      <c r="F128" s="6" t="s">
        <v>155</v>
      </c>
      <c r="G128" s="6"/>
      <c r="H128" s="5" t="s">
        <v>700</v>
      </c>
    </row>
    <row r="129" spans="1:8" ht="15.75" x14ac:dyDescent="0.25">
      <c r="A129" s="4">
        <v>63001712</v>
      </c>
      <c r="B129" s="4">
        <v>938135000149</v>
      </c>
      <c r="C129" s="5" t="s">
        <v>1423</v>
      </c>
      <c r="D129" s="6" t="s">
        <v>13</v>
      </c>
      <c r="E129" s="5" t="s">
        <v>217</v>
      </c>
      <c r="F129" s="6" t="s">
        <v>155</v>
      </c>
      <c r="G129" s="6"/>
      <c r="H129" s="5" t="s">
        <v>294</v>
      </c>
    </row>
    <row r="130" spans="1:8" ht="15.75" x14ac:dyDescent="0.25">
      <c r="A130" s="4">
        <v>63001713</v>
      </c>
      <c r="B130" s="4">
        <v>932355003842</v>
      </c>
      <c r="C130" s="5" t="s">
        <v>1424</v>
      </c>
      <c r="D130" s="6" t="s">
        <v>13</v>
      </c>
      <c r="E130" s="5" t="s">
        <v>178</v>
      </c>
      <c r="F130" s="6" t="s">
        <v>155</v>
      </c>
      <c r="G130" s="6"/>
      <c r="H130" s="5" t="s">
        <v>701</v>
      </c>
    </row>
    <row r="131" spans="1:8" ht="15.75" x14ac:dyDescent="0.25">
      <c r="A131" s="4">
        <v>63001759</v>
      </c>
      <c r="B131" s="4">
        <v>683920000357</v>
      </c>
      <c r="C131" s="5" t="s">
        <v>1425</v>
      </c>
      <c r="D131" s="6" t="s">
        <v>13</v>
      </c>
      <c r="E131" s="5" t="s">
        <v>460</v>
      </c>
      <c r="F131" s="6" t="s">
        <v>161</v>
      </c>
      <c r="G131" s="6"/>
      <c r="H131" s="5" t="s">
        <v>702</v>
      </c>
    </row>
    <row r="132" spans="1:8" ht="15.75" x14ac:dyDescent="0.25">
      <c r="A132" s="4">
        <v>63001814</v>
      </c>
      <c r="B132" s="4">
        <v>680136002953</v>
      </c>
      <c r="C132" s="5" t="s">
        <v>1426</v>
      </c>
      <c r="D132" s="6" t="s">
        <v>13</v>
      </c>
      <c r="E132" s="5" t="s">
        <v>185</v>
      </c>
      <c r="F132" s="6" t="s">
        <v>161</v>
      </c>
      <c r="G132" s="6"/>
      <c r="H132" s="5" t="s">
        <v>703</v>
      </c>
    </row>
    <row r="133" spans="1:8" ht="15.75" x14ac:dyDescent="0.25">
      <c r="A133" s="4">
        <v>63001825</v>
      </c>
      <c r="B133" s="4">
        <v>670376001451</v>
      </c>
      <c r="C133" s="5" t="s">
        <v>1427</v>
      </c>
      <c r="D133" s="6" t="s">
        <v>13</v>
      </c>
      <c r="E133" s="5" t="s">
        <v>185</v>
      </c>
      <c r="F133" s="6" t="s">
        <v>161</v>
      </c>
      <c r="G133" s="6"/>
      <c r="H133" s="5" t="s">
        <v>704</v>
      </c>
    </row>
    <row r="134" spans="1:8" ht="15.75" x14ac:dyDescent="0.25">
      <c r="A134" s="4">
        <v>63001827</v>
      </c>
      <c r="B134" s="4">
        <v>670466005048</v>
      </c>
      <c r="C134" s="5" t="s">
        <v>1428</v>
      </c>
      <c r="D134" s="6" t="s">
        <v>13</v>
      </c>
      <c r="E134" s="5" t="s">
        <v>178</v>
      </c>
      <c r="F134" s="6" t="s">
        <v>155</v>
      </c>
      <c r="G134" s="6">
        <f>_xlfn.XLOOKUP(DATA_TABLE[[#This Row],[Matricule]],GLOBAL!$B$2:$B$351,GLOBAL!$F$2:$F$351,"not found")</f>
        <v>20</v>
      </c>
      <c r="H134" s="5" t="s">
        <v>705</v>
      </c>
    </row>
    <row r="135" spans="1:8" ht="15.75" x14ac:dyDescent="0.25">
      <c r="A135" s="4">
        <v>63001841</v>
      </c>
      <c r="B135" s="4">
        <v>722904000660</v>
      </c>
      <c r="C135" s="5" t="s">
        <v>1429</v>
      </c>
      <c r="D135" s="6" t="s">
        <v>13</v>
      </c>
      <c r="E135" s="5" t="s">
        <v>178</v>
      </c>
      <c r="F135" s="6" t="s">
        <v>155</v>
      </c>
      <c r="G135" s="6">
        <f>_xlfn.XLOOKUP(DATA_TABLE[[#This Row],[Matricule]],GLOBAL!$B$2:$B$351,GLOBAL!$F$2:$F$351,"not found")</f>
        <v>20</v>
      </c>
      <c r="H135" s="5" t="s">
        <v>190</v>
      </c>
    </row>
    <row r="136" spans="1:8" ht="15.75" x14ac:dyDescent="0.25">
      <c r="A136" s="4">
        <v>63001870</v>
      </c>
      <c r="B136" s="4">
        <v>740238011656</v>
      </c>
      <c r="C136" s="5" t="s">
        <v>1430</v>
      </c>
      <c r="D136" s="6" t="s">
        <v>13</v>
      </c>
      <c r="E136" s="5" t="s">
        <v>459</v>
      </c>
      <c r="F136" s="6" t="s">
        <v>161</v>
      </c>
      <c r="G136" s="6"/>
      <c r="H136" s="5" t="s">
        <v>706</v>
      </c>
    </row>
    <row r="137" spans="1:8" ht="15.75" x14ac:dyDescent="0.25">
      <c r="A137" s="4">
        <v>63001872</v>
      </c>
      <c r="B137" s="4">
        <v>764988000632</v>
      </c>
      <c r="C137" s="5" t="s">
        <v>1431</v>
      </c>
      <c r="D137" s="6" t="s">
        <v>13</v>
      </c>
      <c r="E137" s="5" t="s">
        <v>359</v>
      </c>
      <c r="F137" s="6" t="s">
        <v>161</v>
      </c>
      <c r="G137" s="6"/>
      <c r="H137" s="5" t="s">
        <v>707</v>
      </c>
    </row>
    <row r="138" spans="1:8" ht="15.75" x14ac:dyDescent="0.25">
      <c r="A138" s="4">
        <v>63001873</v>
      </c>
      <c r="B138" s="4">
        <v>725088000643</v>
      </c>
      <c r="C138" s="5" t="s">
        <v>1432</v>
      </c>
      <c r="D138" s="6" t="s">
        <v>13</v>
      </c>
      <c r="E138" s="5" t="s">
        <v>359</v>
      </c>
      <c r="F138" s="6" t="s">
        <v>161</v>
      </c>
      <c r="G138" s="6"/>
      <c r="H138" s="5" t="s">
        <v>358</v>
      </c>
    </row>
    <row r="139" spans="1:8" ht="15.75" x14ac:dyDescent="0.25">
      <c r="A139" s="4">
        <v>63001874</v>
      </c>
      <c r="B139" s="4">
        <v>780429001652</v>
      </c>
      <c r="C139" s="5" t="s">
        <v>1433</v>
      </c>
      <c r="D139" s="6" t="s">
        <v>13</v>
      </c>
      <c r="E139" s="5" t="s">
        <v>359</v>
      </c>
      <c r="F139" s="6" t="s">
        <v>161</v>
      </c>
      <c r="G139" s="6"/>
      <c r="H139" s="5" t="s">
        <v>708</v>
      </c>
    </row>
    <row r="140" spans="1:8" ht="15.75" x14ac:dyDescent="0.25">
      <c r="A140" s="4">
        <v>63001889</v>
      </c>
      <c r="B140" s="4">
        <v>710821004261</v>
      </c>
      <c r="C140" s="5" t="s">
        <v>1434</v>
      </c>
      <c r="D140" s="6" t="s">
        <v>13</v>
      </c>
      <c r="E140" s="5" t="s">
        <v>234</v>
      </c>
      <c r="F140" s="6" t="s">
        <v>161</v>
      </c>
      <c r="G140" s="6">
        <f>_xlfn.XLOOKUP(DATA_TABLE[[#This Row],[Matricule]],GLOBAL!$B$2:$B$351,GLOBAL!$F$2:$F$351,"not found")</f>
        <v>24</v>
      </c>
      <c r="H140" s="5" t="s">
        <v>709</v>
      </c>
    </row>
    <row r="141" spans="1:8" ht="15.75" x14ac:dyDescent="0.25">
      <c r="A141" s="4">
        <v>63001903</v>
      </c>
      <c r="B141" s="4">
        <v>748614000152</v>
      </c>
      <c r="C141" s="5" t="s">
        <v>1435</v>
      </c>
      <c r="D141" s="6" t="s">
        <v>13</v>
      </c>
      <c r="E141" s="5" t="s">
        <v>185</v>
      </c>
      <c r="F141" s="6" t="s">
        <v>161</v>
      </c>
      <c r="G141" s="6">
        <f>_xlfn.XLOOKUP(DATA_TABLE[[#This Row],[Matricule]],GLOBAL!$B$2:$B$351,GLOBAL!$F$2:$F$351,"not found")</f>
        <v>21</v>
      </c>
      <c r="H141" s="5" t="s">
        <v>184</v>
      </c>
    </row>
    <row r="142" spans="1:8" ht="15.75" x14ac:dyDescent="0.25">
      <c r="A142" s="4">
        <v>63001932</v>
      </c>
      <c r="B142" s="4">
        <v>790043007546</v>
      </c>
      <c r="C142" s="5" t="s">
        <v>1436</v>
      </c>
      <c r="D142" s="6" t="s">
        <v>13</v>
      </c>
      <c r="E142" s="5" t="s">
        <v>359</v>
      </c>
      <c r="F142" s="6" t="s">
        <v>161</v>
      </c>
      <c r="G142" s="6"/>
      <c r="H142" s="5" t="s">
        <v>710</v>
      </c>
    </row>
    <row r="143" spans="1:8" ht="15.75" x14ac:dyDescent="0.25">
      <c r="A143" s="4">
        <v>63001933</v>
      </c>
      <c r="B143" s="4">
        <v>785655000739</v>
      </c>
      <c r="C143" s="5" t="s">
        <v>1437</v>
      </c>
      <c r="D143" s="6" t="s">
        <v>13</v>
      </c>
      <c r="E143" s="5" t="s">
        <v>185</v>
      </c>
      <c r="F143" s="6" t="s">
        <v>161</v>
      </c>
      <c r="G143" s="6"/>
      <c r="H143" s="5" t="s">
        <v>711</v>
      </c>
    </row>
    <row r="144" spans="1:8" ht="15.75" x14ac:dyDescent="0.25">
      <c r="A144" s="4">
        <v>63001934</v>
      </c>
      <c r="B144" s="4">
        <v>800119007948</v>
      </c>
      <c r="C144" s="5" t="s">
        <v>1438</v>
      </c>
      <c r="D144" s="6" t="s">
        <v>13</v>
      </c>
      <c r="E144" s="5" t="s">
        <v>185</v>
      </c>
      <c r="F144" s="6" t="s">
        <v>161</v>
      </c>
      <c r="G144" s="6"/>
      <c r="H144" s="5" t="s">
        <v>712</v>
      </c>
    </row>
    <row r="145" spans="1:8" ht="15.75" x14ac:dyDescent="0.25">
      <c r="A145" s="4">
        <v>63001940</v>
      </c>
      <c r="B145" s="4">
        <v>800625010760</v>
      </c>
      <c r="C145" s="5" t="s">
        <v>1439</v>
      </c>
      <c r="D145" s="6" t="s">
        <v>13</v>
      </c>
      <c r="E145" s="5" t="s">
        <v>185</v>
      </c>
      <c r="F145" s="6" t="s">
        <v>161</v>
      </c>
      <c r="G145" s="6">
        <f>_xlfn.XLOOKUP(DATA_TABLE[[#This Row],[Matricule]],GLOBAL!$B$2:$B$351,GLOBAL!$F$2:$F$351,"not found")</f>
        <v>21</v>
      </c>
      <c r="H145" s="5" t="s">
        <v>211</v>
      </c>
    </row>
    <row r="146" spans="1:8" ht="15.75" x14ac:dyDescent="0.25">
      <c r="A146" s="4">
        <v>63004846</v>
      </c>
      <c r="B146" s="4">
        <v>710301012768</v>
      </c>
      <c r="C146" s="5" t="s">
        <v>62</v>
      </c>
      <c r="D146" s="6" t="s">
        <v>13</v>
      </c>
      <c r="E146" s="9" t="s">
        <v>541</v>
      </c>
      <c r="F146" s="10" t="s">
        <v>541</v>
      </c>
      <c r="G146" s="6"/>
      <c r="H146" s="5" t="s">
        <v>1284</v>
      </c>
    </row>
    <row r="147" spans="1:8" ht="15.75" x14ac:dyDescent="0.25">
      <c r="A147" s="4">
        <v>63004983</v>
      </c>
      <c r="B147" s="4">
        <v>759069000437</v>
      </c>
      <c r="C147" s="5" t="s">
        <v>63</v>
      </c>
      <c r="D147" s="6" t="s">
        <v>13</v>
      </c>
      <c r="E147" s="5" t="s">
        <v>457</v>
      </c>
      <c r="F147" s="6" t="s">
        <v>161</v>
      </c>
      <c r="G147" s="6"/>
      <c r="H147" s="5" t="s">
        <v>1285</v>
      </c>
    </row>
    <row r="148" spans="1:8" ht="15.75" x14ac:dyDescent="0.25">
      <c r="A148" s="4">
        <v>63007455</v>
      </c>
      <c r="B148" s="4">
        <v>920186026636</v>
      </c>
      <c r="C148" s="5" t="s">
        <v>1440</v>
      </c>
      <c r="D148" s="6" t="s">
        <v>13</v>
      </c>
      <c r="E148" s="5" t="s">
        <v>183</v>
      </c>
      <c r="F148" s="6" t="s">
        <v>161</v>
      </c>
      <c r="G148" s="6">
        <f>_xlfn.XLOOKUP(DATA_TABLE[[#This Row],[Matricule]],GLOBAL!$B$2:$B$351,GLOBAL!$F$2:$F$351,"not found")</f>
        <v>22</v>
      </c>
      <c r="H148" s="5" t="s">
        <v>278</v>
      </c>
    </row>
    <row r="149" spans="1:8" ht="15.75" x14ac:dyDescent="0.25">
      <c r="A149" s="4">
        <v>63008433</v>
      </c>
      <c r="B149" s="4">
        <v>720363002160</v>
      </c>
      <c r="C149" s="5" t="s">
        <v>1441</v>
      </c>
      <c r="D149" s="6" t="s">
        <v>13</v>
      </c>
      <c r="E149" s="9" t="s">
        <v>541</v>
      </c>
      <c r="F149" s="10" t="s">
        <v>541</v>
      </c>
      <c r="G149" s="6"/>
      <c r="H149" s="5" t="s">
        <v>713</v>
      </c>
    </row>
    <row r="150" spans="1:8" ht="15.75" x14ac:dyDescent="0.25">
      <c r="A150" s="4">
        <v>63010596</v>
      </c>
      <c r="B150" s="4">
        <v>910062035152</v>
      </c>
      <c r="C150" s="5" t="s">
        <v>1442</v>
      </c>
      <c r="D150" s="6" t="s">
        <v>13</v>
      </c>
      <c r="E150" s="5" t="s">
        <v>458</v>
      </c>
      <c r="F150" s="6" t="s">
        <v>161</v>
      </c>
      <c r="G150" s="6"/>
      <c r="H150" s="5" t="s">
        <v>714</v>
      </c>
    </row>
    <row r="151" spans="1:8" ht="15.75" x14ac:dyDescent="0.25">
      <c r="A151" s="4">
        <v>63010940</v>
      </c>
      <c r="B151" s="4">
        <v>970634011946</v>
      </c>
      <c r="C151" s="5" t="s">
        <v>1443</v>
      </c>
      <c r="D151" s="6" t="s">
        <v>13</v>
      </c>
      <c r="E151" s="5" t="s">
        <v>455</v>
      </c>
      <c r="F151" s="6" t="s">
        <v>155</v>
      </c>
      <c r="G151" s="6"/>
      <c r="H151" s="5" t="s">
        <v>715</v>
      </c>
    </row>
    <row r="152" spans="1:8" ht="15.75" x14ac:dyDescent="0.25">
      <c r="A152" s="4">
        <v>63010974</v>
      </c>
      <c r="B152" s="4">
        <v>951760007536</v>
      </c>
      <c r="C152" s="5" t="s">
        <v>1444</v>
      </c>
      <c r="D152" s="6" t="s">
        <v>13</v>
      </c>
      <c r="E152" s="5" t="s">
        <v>178</v>
      </c>
      <c r="F152" s="6" t="s">
        <v>155</v>
      </c>
      <c r="G152" s="6"/>
      <c r="H152" s="5" t="s">
        <v>716</v>
      </c>
    </row>
    <row r="153" spans="1:8" ht="15.75" x14ac:dyDescent="0.25">
      <c r="A153" s="4">
        <v>63013900</v>
      </c>
      <c r="B153" s="4">
        <v>846141000255</v>
      </c>
      <c r="C153" s="5" t="s">
        <v>1445</v>
      </c>
      <c r="D153" s="6" t="s">
        <v>13</v>
      </c>
      <c r="E153" s="5" t="s">
        <v>367</v>
      </c>
      <c r="F153" s="6" t="s">
        <v>161</v>
      </c>
      <c r="G153" s="6"/>
      <c r="H153" s="5" t="s">
        <v>366</v>
      </c>
    </row>
    <row r="154" spans="1:8" ht="15.75" x14ac:dyDescent="0.25">
      <c r="A154" s="4">
        <v>63014311</v>
      </c>
      <c r="B154" s="4">
        <v>796704000647</v>
      </c>
      <c r="C154" s="5" t="s">
        <v>1446</v>
      </c>
      <c r="D154" s="6" t="s">
        <v>13</v>
      </c>
      <c r="E154" s="5" t="s">
        <v>463</v>
      </c>
      <c r="F154" s="6" t="s">
        <v>161</v>
      </c>
      <c r="G154" s="6"/>
      <c r="H154" s="5" t="s">
        <v>717</v>
      </c>
    </row>
    <row r="155" spans="1:8" ht="15.75" x14ac:dyDescent="0.25">
      <c r="A155" s="4">
        <v>63036914</v>
      </c>
      <c r="B155" s="4">
        <v>31302002580</v>
      </c>
      <c r="C155" s="5" t="s">
        <v>2060</v>
      </c>
      <c r="D155" s="6" t="s">
        <v>13</v>
      </c>
      <c r="E155" s="5" t="s">
        <v>178</v>
      </c>
      <c r="F155" s="6" t="s">
        <v>155</v>
      </c>
      <c r="G155" s="6"/>
      <c r="H155" s="5" t="s">
        <v>551</v>
      </c>
    </row>
    <row r="156" spans="1:8" ht="15.75" x14ac:dyDescent="0.25">
      <c r="A156" s="4">
        <v>63036916</v>
      </c>
      <c r="B156" s="4">
        <v>971883003435</v>
      </c>
      <c r="C156" s="5" t="s">
        <v>1447</v>
      </c>
      <c r="D156" s="6" t="s">
        <v>13</v>
      </c>
      <c r="E156" s="5" t="s">
        <v>178</v>
      </c>
      <c r="F156" s="6" t="s">
        <v>155</v>
      </c>
      <c r="G156" s="6"/>
      <c r="H156" s="5" t="s">
        <v>284</v>
      </c>
    </row>
    <row r="157" spans="1:8" ht="15.75" x14ac:dyDescent="0.25">
      <c r="A157" s="4">
        <v>63036917</v>
      </c>
      <c r="B157" s="4">
        <v>20430006273</v>
      </c>
      <c r="C157" s="5" t="s">
        <v>1448</v>
      </c>
      <c r="D157" s="6" t="s">
        <v>13</v>
      </c>
      <c r="E157" s="5" t="s">
        <v>178</v>
      </c>
      <c r="F157" s="6" t="s">
        <v>155</v>
      </c>
      <c r="G157" s="6"/>
      <c r="H157" s="5" t="s">
        <v>357</v>
      </c>
    </row>
    <row r="158" spans="1:8" ht="15.75" x14ac:dyDescent="0.25">
      <c r="A158" s="4">
        <v>63036973</v>
      </c>
      <c r="B158" s="4">
        <v>20011009670</v>
      </c>
      <c r="C158" s="5" t="s">
        <v>1449</v>
      </c>
      <c r="D158" s="6" t="s">
        <v>13</v>
      </c>
      <c r="E158" s="5" t="s">
        <v>178</v>
      </c>
      <c r="F158" s="6" t="s">
        <v>155</v>
      </c>
      <c r="G158" s="6"/>
      <c r="H158" s="5" t="s">
        <v>718</v>
      </c>
    </row>
    <row r="159" spans="1:8" ht="15.75" x14ac:dyDescent="0.25">
      <c r="A159" s="4">
        <v>63036987</v>
      </c>
      <c r="B159" s="4">
        <v>27254000265</v>
      </c>
      <c r="C159" s="5" t="s">
        <v>1450</v>
      </c>
      <c r="D159" s="6" t="s">
        <v>13</v>
      </c>
      <c r="E159" s="5" t="s">
        <v>178</v>
      </c>
      <c r="F159" s="6" t="s">
        <v>155</v>
      </c>
      <c r="G159" s="6"/>
      <c r="H159" s="5" t="s">
        <v>719</v>
      </c>
    </row>
    <row r="160" spans="1:8" ht="15.75" x14ac:dyDescent="0.25">
      <c r="A160" s="4">
        <v>63037014</v>
      </c>
      <c r="B160" s="4">
        <v>31855001861</v>
      </c>
      <c r="C160" s="5" t="s">
        <v>1451</v>
      </c>
      <c r="D160" s="6" t="s">
        <v>13</v>
      </c>
      <c r="E160" s="5" t="s">
        <v>178</v>
      </c>
      <c r="F160" s="6" t="s">
        <v>155</v>
      </c>
      <c r="G160" s="6"/>
      <c r="H160" s="5" t="s">
        <v>720</v>
      </c>
    </row>
    <row r="161" spans="1:8" ht="15.75" x14ac:dyDescent="0.25">
      <c r="A161" s="4">
        <v>63037036</v>
      </c>
      <c r="B161" s="4">
        <v>30089010763</v>
      </c>
      <c r="C161" s="5" t="s">
        <v>2061</v>
      </c>
      <c r="D161" s="6" t="s">
        <v>13</v>
      </c>
      <c r="E161" s="5" t="s">
        <v>178</v>
      </c>
      <c r="F161" s="6" t="s">
        <v>155</v>
      </c>
      <c r="G161" s="6"/>
      <c r="H161" s="5" t="s">
        <v>552</v>
      </c>
    </row>
    <row r="162" spans="1:8" ht="15.75" x14ac:dyDescent="0.25">
      <c r="A162" s="4">
        <v>63043837</v>
      </c>
      <c r="B162" s="4">
        <v>901696001443</v>
      </c>
      <c r="C162" s="5" t="s">
        <v>64</v>
      </c>
      <c r="D162" s="6" t="s">
        <v>13</v>
      </c>
      <c r="E162" s="5" t="s">
        <v>167</v>
      </c>
      <c r="F162" s="6" t="s">
        <v>161</v>
      </c>
      <c r="G162" s="6"/>
      <c r="H162" s="5" t="s">
        <v>1286</v>
      </c>
    </row>
    <row r="163" spans="1:8" ht="15.75" x14ac:dyDescent="0.25">
      <c r="A163" s="4">
        <v>63001301</v>
      </c>
      <c r="B163" s="4">
        <v>804628000255</v>
      </c>
      <c r="C163" s="5" t="s">
        <v>2062</v>
      </c>
      <c r="D163" s="6" t="s">
        <v>65</v>
      </c>
      <c r="E163" s="9" t="s">
        <v>541</v>
      </c>
      <c r="F163" s="10" t="s">
        <v>541</v>
      </c>
      <c r="G163" s="6"/>
      <c r="H163" s="5" t="s">
        <v>553</v>
      </c>
    </row>
    <row r="164" spans="1:8" ht="15.75" x14ac:dyDescent="0.25">
      <c r="A164" s="4">
        <v>63001310</v>
      </c>
      <c r="B164" s="4">
        <v>808006000160</v>
      </c>
      <c r="C164" s="5" t="s">
        <v>66</v>
      </c>
      <c r="D164" s="6" t="s">
        <v>65</v>
      </c>
      <c r="E164" s="5" t="s">
        <v>470</v>
      </c>
      <c r="F164" s="6" t="s">
        <v>161</v>
      </c>
      <c r="G164" s="6"/>
      <c r="H164" s="5" t="s">
        <v>1287</v>
      </c>
    </row>
    <row r="165" spans="1:8" ht="15.75" x14ac:dyDescent="0.25">
      <c r="A165" s="4">
        <v>63001315</v>
      </c>
      <c r="B165" s="4">
        <v>812870001846</v>
      </c>
      <c r="C165" s="5" t="s">
        <v>1452</v>
      </c>
      <c r="D165" s="6" t="s">
        <v>65</v>
      </c>
      <c r="E165" s="5" t="s">
        <v>470</v>
      </c>
      <c r="F165" s="6" t="s">
        <v>161</v>
      </c>
      <c r="G165" s="6"/>
      <c r="H165" s="5" t="s">
        <v>721</v>
      </c>
    </row>
    <row r="166" spans="1:8" ht="15.75" x14ac:dyDescent="0.25">
      <c r="A166" s="4">
        <v>63001316</v>
      </c>
      <c r="B166" s="4">
        <v>825984000636</v>
      </c>
      <c r="C166" s="5" t="s">
        <v>1453</v>
      </c>
      <c r="D166" s="6" t="s">
        <v>65</v>
      </c>
      <c r="E166" s="5" t="s">
        <v>470</v>
      </c>
      <c r="F166" s="6" t="s">
        <v>161</v>
      </c>
      <c r="G166" s="6"/>
      <c r="H166" s="5" t="s">
        <v>722</v>
      </c>
    </row>
    <row r="167" spans="1:8" ht="15.75" x14ac:dyDescent="0.25">
      <c r="A167" s="4">
        <v>63001331</v>
      </c>
      <c r="B167" s="4">
        <v>892215003847</v>
      </c>
      <c r="C167" s="5" t="s">
        <v>1454</v>
      </c>
      <c r="D167" s="6" t="s">
        <v>65</v>
      </c>
      <c r="E167" s="9" t="s">
        <v>541</v>
      </c>
      <c r="F167" s="10" t="s">
        <v>541</v>
      </c>
      <c r="G167" s="6"/>
      <c r="H167" s="5" t="s">
        <v>723</v>
      </c>
    </row>
    <row r="168" spans="1:8" ht="15.75" x14ac:dyDescent="0.25">
      <c r="A168" s="4">
        <v>63001356</v>
      </c>
      <c r="B168" s="4">
        <v>847224000352</v>
      </c>
      <c r="C168" s="5" t="s">
        <v>1455</v>
      </c>
      <c r="D168" s="6" t="s">
        <v>65</v>
      </c>
      <c r="E168" s="5" t="s">
        <v>361</v>
      </c>
      <c r="F168" s="6" t="s">
        <v>161</v>
      </c>
      <c r="G168" s="6"/>
      <c r="H168" s="5" t="s">
        <v>360</v>
      </c>
    </row>
    <row r="169" spans="1:8" ht="15.75" x14ac:dyDescent="0.25">
      <c r="A169" s="4">
        <v>63001397</v>
      </c>
      <c r="B169" s="4">
        <v>854679000635</v>
      </c>
      <c r="C169" s="5" t="s">
        <v>1456</v>
      </c>
      <c r="D169" s="6" t="s">
        <v>65</v>
      </c>
      <c r="E169" s="5" t="s">
        <v>206</v>
      </c>
      <c r="F169" s="6" t="s">
        <v>161</v>
      </c>
      <c r="G169" s="6">
        <f>_xlfn.XLOOKUP(DATA_TABLE[[#This Row],[Matricule]],GLOBAL!$B$2:$B$351,GLOBAL!$F$2:$F$351,"not found")</f>
        <v>24</v>
      </c>
      <c r="H169" s="5" t="s">
        <v>205</v>
      </c>
    </row>
    <row r="170" spans="1:8" ht="15.75" x14ac:dyDescent="0.25">
      <c r="A170" s="4">
        <v>63001403</v>
      </c>
      <c r="B170" s="4">
        <v>720396010748</v>
      </c>
      <c r="C170" s="5" t="s">
        <v>1457</v>
      </c>
      <c r="D170" s="6" t="s">
        <v>65</v>
      </c>
      <c r="E170" s="5" t="s">
        <v>471</v>
      </c>
      <c r="F170" s="6" t="s">
        <v>161</v>
      </c>
      <c r="G170" s="6"/>
      <c r="H170" s="5" t="s">
        <v>724</v>
      </c>
    </row>
    <row r="171" spans="1:8" ht="15.75" x14ac:dyDescent="0.25">
      <c r="A171" s="4">
        <v>63001486</v>
      </c>
      <c r="B171" s="4">
        <v>898523000145</v>
      </c>
      <c r="C171" s="5" t="s">
        <v>1458</v>
      </c>
      <c r="D171" s="6" t="s">
        <v>65</v>
      </c>
      <c r="E171" s="5" t="s">
        <v>206</v>
      </c>
      <c r="F171" s="6" t="s">
        <v>161</v>
      </c>
      <c r="G171" s="6"/>
      <c r="H171" s="5" t="s">
        <v>725</v>
      </c>
    </row>
    <row r="172" spans="1:8" ht="15.75" x14ac:dyDescent="0.25">
      <c r="A172" s="4">
        <v>63001524</v>
      </c>
      <c r="B172" s="4">
        <v>919343000147</v>
      </c>
      <c r="C172" s="5" t="s">
        <v>2063</v>
      </c>
      <c r="D172" s="6" t="s">
        <v>65</v>
      </c>
      <c r="E172" s="5" t="s">
        <v>267</v>
      </c>
      <c r="F172" s="6" t="s">
        <v>161</v>
      </c>
      <c r="G172" s="6">
        <f>_xlfn.XLOOKUP(DATA_TABLE[[#This Row],[Matricule]],GLOBAL!$B$2:$B$351,GLOBAL!$F$2:$F$351,"not found")</f>
        <v>21</v>
      </c>
      <c r="H172" s="5" t="s">
        <v>266</v>
      </c>
    </row>
    <row r="173" spans="1:8" ht="15.75" x14ac:dyDescent="0.25">
      <c r="A173" s="4">
        <v>63001532</v>
      </c>
      <c r="B173" s="4">
        <v>910492011845</v>
      </c>
      <c r="C173" s="5" t="s">
        <v>1459</v>
      </c>
      <c r="D173" s="6" t="s">
        <v>65</v>
      </c>
      <c r="E173" s="5" t="s">
        <v>301</v>
      </c>
      <c r="F173" s="6" t="s">
        <v>161</v>
      </c>
      <c r="G173" s="6"/>
      <c r="H173" s="5" t="s">
        <v>726</v>
      </c>
    </row>
    <row r="174" spans="1:8" ht="15.75" x14ac:dyDescent="0.25">
      <c r="A174" s="4">
        <v>63001576</v>
      </c>
      <c r="B174" s="4">
        <v>923077002246</v>
      </c>
      <c r="C174" s="5" t="s">
        <v>67</v>
      </c>
      <c r="D174" s="6" t="s">
        <v>65</v>
      </c>
      <c r="E174" s="5" t="s">
        <v>468</v>
      </c>
      <c r="F174" s="6" t="s">
        <v>161</v>
      </c>
      <c r="G174" s="6"/>
      <c r="H174" s="5" t="s">
        <v>1288</v>
      </c>
    </row>
    <row r="175" spans="1:8" ht="15.75" x14ac:dyDescent="0.25">
      <c r="A175" s="4">
        <v>63001593</v>
      </c>
      <c r="B175" s="4">
        <v>911190001750</v>
      </c>
      <c r="C175" s="5" t="s">
        <v>1460</v>
      </c>
      <c r="D175" s="6" t="s">
        <v>65</v>
      </c>
      <c r="E175" s="5" t="s">
        <v>196</v>
      </c>
      <c r="F175" s="6" t="s">
        <v>161</v>
      </c>
      <c r="G175" s="6"/>
      <c r="H175" s="5" t="s">
        <v>727</v>
      </c>
    </row>
    <row r="176" spans="1:8" ht="15.75" x14ac:dyDescent="0.25">
      <c r="A176" s="4">
        <v>63001660</v>
      </c>
      <c r="B176" s="4">
        <v>913136000457</v>
      </c>
      <c r="C176" s="5" t="s">
        <v>1461</v>
      </c>
      <c r="D176" s="6" t="s">
        <v>65</v>
      </c>
      <c r="E176" s="5" t="s">
        <v>464</v>
      </c>
      <c r="F176" s="6" t="s">
        <v>161</v>
      </c>
      <c r="G176" s="6"/>
      <c r="H176" s="5" t="s">
        <v>728</v>
      </c>
    </row>
    <row r="177" spans="1:8" ht="15.75" x14ac:dyDescent="0.25">
      <c r="A177" s="4">
        <v>63001662</v>
      </c>
      <c r="B177" s="4">
        <v>942146005048</v>
      </c>
      <c r="C177" s="5" t="s">
        <v>1462</v>
      </c>
      <c r="D177" s="6" t="s">
        <v>65</v>
      </c>
      <c r="E177" s="5" t="s">
        <v>464</v>
      </c>
      <c r="F177" s="6" t="s">
        <v>161</v>
      </c>
      <c r="G177" s="6"/>
      <c r="H177" s="5" t="s">
        <v>729</v>
      </c>
    </row>
    <row r="178" spans="1:8" ht="15.75" x14ac:dyDescent="0.25">
      <c r="A178" s="4">
        <v>63001664</v>
      </c>
      <c r="B178" s="4">
        <v>934882000143</v>
      </c>
      <c r="C178" s="5" t="s">
        <v>68</v>
      </c>
      <c r="D178" s="6" t="s">
        <v>65</v>
      </c>
      <c r="E178" s="5" t="s">
        <v>336</v>
      </c>
      <c r="F178" s="6" t="s">
        <v>161</v>
      </c>
      <c r="G178" s="6"/>
      <c r="H178" s="5" t="s">
        <v>1289</v>
      </c>
    </row>
    <row r="179" spans="1:8" ht="15.75" x14ac:dyDescent="0.25">
      <c r="A179" s="4">
        <v>63001672</v>
      </c>
      <c r="B179" s="4">
        <v>840929010551</v>
      </c>
      <c r="C179" s="5" t="s">
        <v>69</v>
      </c>
      <c r="D179" s="6" t="s">
        <v>65</v>
      </c>
      <c r="E179" s="5" t="s">
        <v>465</v>
      </c>
      <c r="F179" s="6" t="s">
        <v>161</v>
      </c>
      <c r="G179" s="6"/>
      <c r="H179" s="5" t="s">
        <v>1290</v>
      </c>
    </row>
    <row r="180" spans="1:8" ht="15.75" x14ac:dyDescent="0.25">
      <c r="A180" s="4">
        <v>63001771</v>
      </c>
      <c r="B180" s="4">
        <v>967716000343</v>
      </c>
      <c r="C180" s="5" t="s">
        <v>1463</v>
      </c>
      <c r="D180" s="6" t="s">
        <v>65</v>
      </c>
      <c r="E180" s="5" t="s">
        <v>247</v>
      </c>
      <c r="F180" s="6" t="s">
        <v>155</v>
      </c>
      <c r="G180" s="6"/>
      <c r="H180" s="5" t="s">
        <v>730</v>
      </c>
    </row>
    <row r="181" spans="1:8" ht="15.75" x14ac:dyDescent="0.25">
      <c r="A181" s="4">
        <v>63001777</v>
      </c>
      <c r="B181" s="4">
        <v>964847001042</v>
      </c>
      <c r="C181" s="5" t="s">
        <v>1464</v>
      </c>
      <c r="D181" s="6" t="s">
        <v>65</v>
      </c>
      <c r="E181" s="5" t="s">
        <v>267</v>
      </c>
      <c r="F181" s="6" t="s">
        <v>161</v>
      </c>
      <c r="G181" s="6"/>
      <c r="H181" s="5" t="s">
        <v>731</v>
      </c>
    </row>
    <row r="182" spans="1:8" ht="15.75" x14ac:dyDescent="0.25">
      <c r="A182" s="4">
        <v>63001802</v>
      </c>
      <c r="B182" s="4">
        <v>934661001049</v>
      </c>
      <c r="C182" s="5" t="s">
        <v>1465</v>
      </c>
      <c r="D182" s="6" t="s">
        <v>65</v>
      </c>
      <c r="E182" s="5" t="s">
        <v>267</v>
      </c>
      <c r="F182" s="6" t="s">
        <v>161</v>
      </c>
      <c r="G182" s="6"/>
      <c r="H182" s="5" t="s">
        <v>732</v>
      </c>
    </row>
    <row r="183" spans="1:8" ht="15.75" x14ac:dyDescent="0.25">
      <c r="A183" s="4">
        <v>63001839</v>
      </c>
      <c r="B183" s="4">
        <v>660835002652</v>
      </c>
      <c r="C183" s="5" t="s">
        <v>1466</v>
      </c>
      <c r="D183" s="6" t="s">
        <v>65</v>
      </c>
      <c r="E183" s="9" t="s">
        <v>541</v>
      </c>
      <c r="F183" s="10" t="s">
        <v>541</v>
      </c>
      <c r="G183" s="6"/>
      <c r="H183" s="5" t="s">
        <v>733</v>
      </c>
    </row>
    <row r="184" spans="1:8" ht="15.75" x14ac:dyDescent="0.25">
      <c r="A184" s="4">
        <v>63001857</v>
      </c>
      <c r="B184" s="4">
        <v>698476000335</v>
      </c>
      <c r="C184" s="5" t="s">
        <v>1467</v>
      </c>
      <c r="D184" s="6" t="s">
        <v>65</v>
      </c>
      <c r="E184" s="5" t="s">
        <v>469</v>
      </c>
      <c r="F184" s="6" t="s">
        <v>161</v>
      </c>
      <c r="G184" s="6"/>
      <c r="H184" s="5" t="s">
        <v>734</v>
      </c>
    </row>
    <row r="185" spans="1:8" ht="15.75" x14ac:dyDescent="0.25">
      <c r="A185" s="4">
        <v>63001863</v>
      </c>
      <c r="B185" s="4">
        <v>713145000856</v>
      </c>
      <c r="C185" s="5" t="s">
        <v>1468</v>
      </c>
      <c r="D185" s="6" t="s">
        <v>65</v>
      </c>
      <c r="E185" s="5" t="s">
        <v>485</v>
      </c>
      <c r="F185" s="6" t="s">
        <v>161</v>
      </c>
      <c r="G185" s="6"/>
      <c r="H185" s="5" t="s">
        <v>735</v>
      </c>
    </row>
    <row r="186" spans="1:8" ht="15.75" x14ac:dyDescent="0.25">
      <c r="A186" s="4">
        <v>63001899</v>
      </c>
      <c r="B186" s="4">
        <v>771230003359</v>
      </c>
      <c r="C186" s="5" t="s">
        <v>1469</v>
      </c>
      <c r="D186" s="6" t="s">
        <v>65</v>
      </c>
      <c r="E186" s="5" t="s">
        <v>469</v>
      </c>
      <c r="F186" s="6" t="s">
        <v>161</v>
      </c>
      <c r="G186" s="6"/>
      <c r="H186" s="5" t="s">
        <v>736</v>
      </c>
    </row>
    <row r="187" spans="1:8" ht="15.75" x14ac:dyDescent="0.25">
      <c r="A187" s="4">
        <v>63001953</v>
      </c>
      <c r="B187" s="4">
        <v>802135003556</v>
      </c>
      <c r="C187" s="5" t="s">
        <v>1470</v>
      </c>
      <c r="D187" s="6" t="s">
        <v>65</v>
      </c>
      <c r="E187" s="5" t="s">
        <v>467</v>
      </c>
      <c r="F187" s="6" t="s">
        <v>161</v>
      </c>
      <c r="G187" s="6"/>
      <c r="H187" s="5" t="s">
        <v>737</v>
      </c>
    </row>
    <row r="188" spans="1:8" ht="15.75" x14ac:dyDescent="0.25">
      <c r="A188" s="4">
        <v>63001975</v>
      </c>
      <c r="B188" s="4">
        <v>730182007940</v>
      </c>
      <c r="C188" s="5" t="s">
        <v>1471</v>
      </c>
      <c r="D188" s="6" t="s">
        <v>65</v>
      </c>
      <c r="E188" s="9" t="s">
        <v>541</v>
      </c>
      <c r="F188" s="10" t="s">
        <v>541</v>
      </c>
      <c r="G188" s="6"/>
      <c r="H188" s="5" t="s">
        <v>738</v>
      </c>
    </row>
    <row r="189" spans="1:8" ht="15.75" x14ac:dyDescent="0.25">
      <c r="A189" s="4">
        <v>63010318</v>
      </c>
      <c r="B189" s="4">
        <v>742396001246</v>
      </c>
      <c r="C189" s="5" t="s">
        <v>1472</v>
      </c>
      <c r="D189" s="6" t="s">
        <v>65</v>
      </c>
      <c r="E189" s="5" t="s">
        <v>467</v>
      </c>
      <c r="F189" s="6" t="s">
        <v>161</v>
      </c>
      <c r="G189" s="6"/>
      <c r="H189" s="5" t="s">
        <v>739</v>
      </c>
    </row>
    <row r="190" spans="1:8" ht="15.75" x14ac:dyDescent="0.25">
      <c r="A190" s="4">
        <v>63011064</v>
      </c>
      <c r="B190" s="4">
        <v>967888000227</v>
      </c>
      <c r="C190" s="5" t="s">
        <v>2064</v>
      </c>
      <c r="D190" s="6" t="s">
        <v>65</v>
      </c>
      <c r="E190" s="5" t="s">
        <v>468</v>
      </c>
      <c r="F190" s="6" t="s">
        <v>161</v>
      </c>
      <c r="G190" s="6"/>
      <c r="H190" s="5" t="s">
        <v>554</v>
      </c>
    </row>
    <row r="191" spans="1:8" ht="15.75" x14ac:dyDescent="0.25">
      <c r="A191" s="4">
        <v>63036953</v>
      </c>
      <c r="B191" s="4">
        <v>1752004268</v>
      </c>
      <c r="C191" s="5" t="s">
        <v>1473</v>
      </c>
      <c r="D191" s="6" t="s">
        <v>65</v>
      </c>
      <c r="E191" s="5" t="s">
        <v>466</v>
      </c>
      <c r="F191" s="6" t="s">
        <v>161</v>
      </c>
      <c r="G191" s="6"/>
      <c r="H191" s="5" t="s">
        <v>370</v>
      </c>
    </row>
    <row r="192" spans="1:8" ht="15.75" x14ac:dyDescent="0.25">
      <c r="A192" s="4">
        <v>63036966</v>
      </c>
      <c r="B192" s="4">
        <v>940617015744</v>
      </c>
      <c r="C192" s="5" t="s">
        <v>1474</v>
      </c>
      <c r="D192" s="6" t="s">
        <v>65</v>
      </c>
      <c r="E192" s="5" t="s">
        <v>466</v>
      </c>
      <c r="F192" s="6" t="s">
        <v>161</v>
      </c>
      <c r="G192" s="6"/>
      <c r="H192" s="5" t="s">
        <v>740</v>
      </c>
    </row>
    <row r="193" spans="1:8" ht="15.75" x14ac:dyDescent="0.25">
      <c r="A193" s="4">
        <v>63001299</v>
      </c>
      <c r="B193" s="4">
        <v>811300006857</v>
      </c>
      <c r="C193" s="5" t="s">
        <v>1475</v>
      </c>
      <c r="D193" s="6" t="s">
        <v>14</v>
      </c>
      <c r="E193" s="5" t="s">
        <v>473</v>
      </c>
      <c r="F193" s="6" t="s">
        <v>161</v>
      </c>
      <c r="G193" s="6"/>
      <c r="H193" s="5" t="s">
        <v>741</v>
      </c>
    </row>
    <row r="194" spans="1:8" ht="15.75" x14ac:dyDescent="0.25">
      <c r="A194" s="4">
        <v>63001328</v>
      </c>
      <c r="B194" s="4">
        <v>708983000239</v>
      </c>
      <c r="C194" s="5" t="s">
        <v>1476</v>
      </c>
      <c r="D194" s="6" t="s">
        <v>14</v>
      </c>
      <c r="E194" s="5" t="s">
        <v>476</v>
      </c>
      <c r="F194" s="6" t="s">
        <v>161</v>
      </c>
      <c r="G194" s="6"/>
      <c r="H194" s="5" t="s">
        <v>742</v>
      </c>
    </row>
    <row r="195" spans="1:8" ht="15.75" x14ac:dyDescent="0.25">
      <c r="A195" s="4">
        <v>63001360</v>
      </c>
      <c r="B195" s="4">
        <v>811763003646</v>
      </c>
      <c r="C195" s="5" t="s">
        <v>70</v>
      </c>
      <c r="D195" s="6" t="s">
        <v>14</v>
      </c>
      <c r="E195" s="5" t="s">
        <v>472</v>
      </c>
      <c r="F195" s="6" t="s">
        <v>161</v>
      </c>
      <c r="G195" s="6"/>
      <c r="H195" s="5" t="s">
        <v>1291</v>
      </c>
    </row>
    <row r="196" spans="1:8" ht="15.75" x14ac:dyDescent="0.25">
      <c r="A196" s="4">
        <v>63001371</v>
      </c>
      <c r="B196" s="4">
        <v>805257000846</v>
      </c>
      <c r="C196" s="5" t="s">
        <v>71</v>
      </c>
      <c r="D196" s="6" t="s">
        <v>14</v>
      </c>
      <c r="E196" s="5" t="s">
        <v>475</v>
      </c>
      <c r="F196" s="6" t="s">
        <v>161</v>
      </c>
      <c r="G196" s="6"/>
      <c r="H196" s="5" t="s">
        <v>1292</v>
      </c>
    </row>
    <row r="197" spans="1:8" ht="15.75" x14ac:dyDescent="0.25">
      <c r="A197" s="4">
        <v>63001494</v>
      </c>
      <c r="B197" s="4">
        <v>832733004844</v>
      </c>
      <c r="C197" s="5" t="s">
        <v>1477</v>
      </c>
      <c r="D197" s="6" t="s">
        <v>14</v>
      </c>
      <c r="E197" s="5" t="s">
        <v>219</v>
      </c>
      <c r="F197" s="6" t="s">
        <v>161</v>
      </c>
      <c r="G197" s="6">
        <f>_xlfn.XLOOKUP(DATA_TABLE[[#This Row],[Matricule]],GLOBAL!$B$2:$B$351,GLOBAL!$F$2:$F$351,"not found")</f>
        <v>22</v>
      </c>
      <c r="H197" s="5" t="s">
        <v>218</v>
      </c>
    </row>
    <row r="198" spans="1:8" ht="15.75" x14ac:dyDescent="0.25">
      <c r="A198" s="4">
        <v>63001630</v>
      </c>
      <c r="B198" s="4">
        <v>910269024641</v>
      </c>
      <c r="C198" s="5" t="s">
        <v>1478</v>
      </c>
      <c r="D198" s="6" t="s">
        <v>14</v>
      </c>
      <c r="E198" s="5" t="s">
        <v>473</v>
      </c>
      <c r="F198" s="6" t="s">
        <v>161</v>
      </c>
      <c r="G198" s="6"/>
      <c r="H198" s="5" t="s">
        <v>743</v>
      </c>
    </row>
    <row r="199" spans="1:8" ht="15.75" x14ac:dyDescent="0.25">
      <c r="A199" s="4">
        <v>63001631</v>
      </c>
      <c r="B199" s="4">
        <v>911094008238</v>
      </c>
      <c r="C199" s="5" t="s">
        <v>72</v>
      </c>
      <c r="D199" s="6" t="s">
        <v>14</v>
      </c>
      <c r="E199" s="5" t="s">
        <v>219</v>
      </c>
      <c r="F199" s="6" t="s">
        <v>161</v>
      </c>
      <c r="G199" s="6"/>
      <c r="H199" s="5" t="s">
        <v>1293</v>
      </c>
    </row>
    <row r="200" spans="1:8" ht="15.75" x14ac:dyDescent="0.25">
      <c r="A200" s="4">
        <v>63001632</v>
      </c>
      <c r="B200" s="4">
        <v>921326004254</v>
      </c>
      <c r="C200" s="5" t="s">
        <v>2065</v>
      </c>
      <c r="D200" s="6" t="s">
        <v>14</v>
      </c>
      <c r="E200" s="5" t="s">
        <v>219</v>
      </c>
      <c r="F200" s="6" t="s">
        <v>161</v>
      </c>
      <c r="G200" s="6"/>
      <c r="H200" s="5" t="s">
        <v>555</v>
      </c>
    </row>
    <row r="201" spans="1:8" ht="15.75" x14ac:dyDescent="0.25">
      <c r="A201" s="4">
        <v>63010878</v>
      </c>
      <c r="B201" s="4">
        <v>746596000238</v>
      </c>
      <c r="C201" s="5" t="s">
        <v>73</v>
      </c>
      <c r="D201" s="6" t="s">
        <v>14</v>
      </c>
      <c r="E201" s="5" t="s">
        <v>474</v>
      </c>
      <c r="F201" s="6" t="s">
        <v>161</v>
      </c>
      <c r="G201" s="6"/>
      <c r="H201" s="5" t="s">
        <v>1294</v>
      </c>
    </row>
    <row r="202" spans="1:8" ht="15.75" x14ac:dyDescent="0.25">
      <c r="A202" s="4">
        <v>63011050</v>
      </c>
      <c r="B202" s="4">
        <v>693266001050</v>
      </c>
      <c r="C202" s="5" t="s">
        <v>1479</v>
      </c>
      <c r="D202" s="6" t="s">
        <v>14</v>
      </c>
      <c r="E202" s="9" t="s">
        <v>541</v>
      </c>
      <c r="F202" s="10" t="s">
        <v>541</v>
      </c>
      <c r="G202" s="6"/>
      <c r="H202" s="5" t="s">
        <v>744</v>
      </c>
    </row>
    <row r="203" spans="1:8" ht="15.75" x14ac:dyDescent="0.25">
      <c r="A203" s="4">
        <v>63001302</v>
      </c>
      <c r="B203" s="4">
        <v>800123020766</v>
      </c>
      <c r="C203" s="5" t="s">
        <v>1480</v>
      </c>
      <c r="D203" s="6" t="s">
        <v>74</v>
      </c>
      <c r="E203" s="5" t="s">
        <v>286</v>
      </c>
      <c r="F203" s="6" t="s">
        <v>161</v>
      </c>
      <c r="G203" s="6"/>
      <c r="H203" s="5" t="s">
        <v>745</v>
      </c>
    </row>
    <row r="204" spans="1:8" ht="15.75" x14ac:dyDescent="0.25">
      <c r="A204" s="4">
        <v>63001304</v>
      </c>
      <c r="B204" s="4">
        <v>837406000749</v>
      </c>
      <c r="C204" s="5" t="s">
        <v>1481</v>
      </c>
      <c r="D204" s="6" t="s">
        <v>74</v>
      </c>
      <c r="E204" s="5" t="s">
        <v>502</v>
      </c>
      <c r="F204" s="6" t="s">
        <v>161</v>
      </c>
      <c r="G204" s="6"/>
      <c r="H204" s="5" t="s">
        <v>746</v>
      </c>
    </row>
    <row r="205" spans="1:8" ht="15.75" x14ac:dyDescent="0.25">
      <c r="A205" s="4">
        <v>63001305</v>
      </c>
      <c r="B205" s="4">
        <v>796684000137</v>
      </c>
      <c r="C205" s="5" t="s">
        <v>1482</v>
      </c>
      <c r="D205" s="6" t="s">
        <v>74</v>
      </c>
      <c r="E205" s="5" t="s">
        <v>225</v>
      </c>
      <c r="F205" s="6" t="s">
        <v>155</v>
      </c>
      <c r="G205" s="6"/>
      <c r="H205" s="5" t="s">
        <v>747</v>
      </c>
    </row>
    <row r="206" spans="1:8" ht="15.75" x14ac:dyDescent="0.25">
      <c r="A206" s="4">
        <v>63001323</v>
      </c>
      <c r="B206" s="4">
        <v>818510000158</v>
      </c>
      <c r="C206" s="5" t="s">
        <v>1483</v>
      </c>
      <c r="D206" s="6" t="s">
        <v>74</v>
      </c>
      <c r="E206" s="5" t="s">
        <v>504</v>
      </c>
      <c r="F206" s="6" t="s">
        <v>161</v>
      </c>
      <c r="G206" s="6"/>
      <c r="H206" s="5" t="s">
        <v>748</v>
      </c>
    </row>
    <row r="207" spans="1:8" ht="15.75" x14ac:dyDescent="0.25">
      <c r="A207" s="4">
        <v>63001343</v>
      </c>
      <c r="B207" s="4">
        <v>880377019329</v>
      </c>
      <c r="C207" s="5" t="s">
        <v>1484</v>
      </c>
      <c r="D207" s="6" t="s">
        <v>74</v>
      </c>
      <c r="E207" s="9" t="s">
        <v>541</v>
      </c>
      <c r="F207" s="10" t="s">
        <v>541</v>
      </c>
      <c r="G207" s="6"/>
      <c r="H207" s="5" t="s">
        <v>749</v>
      </c>
    </row>
    <row r="208" spans="1:8" ht="15.75" x14ac:dyDescent="0.25">
      <c r="A208" s="4">
        <v>63001344</v>
      </c>
      <c r="B208" s="4">
        <v>890821006544</v>
      </c>
      <c r="C208" s="5" t="s">
        <v>1485</v>
      </c>
      <c r="D208" s="6" t="s">
        <v>74</v>
      </c>
      <c r="E208" s="5" t="s">
        <v>481</v>
      </c>
      <c r="F208" s="6" t="s">
        <v>161</v>
      </c>
      <c r="G208" s="6"/>
      <c r="H208" s="5" t="s">
        <v>750</v>
      </c>
    </row>
    <row r="209" spans="1:8" ht="15.75" x14ac:dyDescent="0.25">
      <c r="A209" s="4">
        <v>63001345</v>
      </c>
      <c r="B209" s="4">
        <v>890082004147</v>
      </c>
      <c r="C209" s="5" t="s">
        <v>1486</v>
      </c>
      <c r="D209" s="6" t="s">
        <v>74</v>
      </c>
      <c r="E209" s="5" t="s">
        <v>481</v>
      </c>
      <c r="F209" s="6" t="s">
        <v>161</v>
      </c>
      <c r="G209" s="6"/>
      <c r="H209" s="5" t="s">
        <v>751</v>
      </c>
    </row>
    <row r="210" spans="1:8" ht="15.75" x14ac:dyDescent="0.25">
      <c r="A210" s="4">
        <v>63001346</v>
      </c>
      <c r="B210" s="4">
        <v>904057001450</v>
      </c>
      <c r="C210" s="5" t="s">
        <v>1487</v>
      </c>
      <c r="D210" s="6" t="s">
        <v>74</v>
      </c>
      <c r="E210" s="5" t="s">
        <v>481</v>
      </c>
      <c r="F210" s="6" t="s">
        <v>161</v>
      </c>
      <c r="G210" s="6"/>
      <c r="H210" s="5" t="s">
        <v>752</v>
      </c>
    </row>
    <row r="211" spans="1:8" ht="15.75" x14ac:dyDescent="0.25">
      <c r="A211" s="4">
        <v>63001347</v>
      </c>
      <c r="B211" s="4">
        <v>850968004437</v>
      </c>
      <c r="C211" s="5" t="s">
        <v>1488</v>
      </c>
      <c r="D211" s="6" t="s">
        <v>74</v>
      </c>
      <c r="E211" s="5" t="s">
        <v>482</v>
      </c>
      <c r="F211" s="6" t="s">
        <v>161</v>
      </c>
      <c r="G211" s="6"/>
      <c r="H211" s="5" t="s">
        <v>753</v>
      </c>
    </row>
    <row r="212" spans="1:8" ht="15.75" x14ac:dyDescent="0.25">
      <c r="A212" s="4">
        <v>63001348</v>
      </c>
      <c r="B212" s="4">
        <v>860349013050</v>
      </c>
      <c r="C212" s="5" t="s">
        <v>1489</v>
      </c>
      <c r="D212" s="6" t="s">
        <v>74</v>
      </c>
      <c r="E212" s="5" t="s">
        <v>482</v>
      </c>
      <c r="F212" s="6" t="s">
        <v>161</v>
      </c>
      <c r="G212" s="6"/>
      <c r="H212" s="5" t="s">
        <v>754</v>
      </c>
    </row>
    <row r="213" spans="1:8" ht="15.75" x14ac:dyDescent="0.25">
      <c r="A213" s="4">
        <v>63001351</v>
      </c>
      <c r="B213" s="4">
        <v>930119003357</v>
      </c>
      <c r="C213" s="5" t="s">
        <v>75</v>
      </c>
      <c r="D213" s="6" t="s">
        <v>74</v>
      </c>
      <c r="E213" s="5" t="s">
        <v>223</v>
      </c>
      <c r="F213" s="6" t="s">
        <v>155</v>
      </c>
      <c r="G213" s="6">
        <f>_xlfn.XLOOKUP(DATA_TABLE[[#This Row],[Matricule]],GLOBAL!$B$2:$B$351,GLOBAL!$F$2:$F$351,"not found")</f>
        <v>20</v>
      </c>
      <c r="H213" s="5" t="s">
        <v>222</v>
      </c>
    </row>
    <row r="214" spans="1:8" ht="15.75" x14ac:dyDescent="0.25">
      <c r="A214" s="4">
        <v>63001355</v>
      </c>
      <c r="B214" s="4">
        <v>781806001356</v>
      </c>
      <c r="C214" s="5" t="s">
        <v>1490</v>
      </c>
      <c r="D214" s="6" t="s">
        <v>74</v>
      </c>
      <c r="E214" s="5" t="s">
        <v>361</v>
      </c>
      <c r="F214" s="6" t="s">
        <v>161</v>
      </c>
      <c r="G214" s="6"/>
      <c r="H214" s="5" t="s">
        <v>755</v>
      </c>
    </row>
    <row r="215" spans="1:8" ht="15.75" x14ac:dyDescent="0.25">
      <c r="A215" s="4">
        <v>63001357</v>
      </c>
      <c r="B215" s="4">
        <v>850054056047</v>
      </c>
      <c r="C215" s="5" t="s">
        <v>1491</v>
      </c>
      <c r="D215" s="6" t="s">
        <v>74</v>
      </c>
      <c r="E215" s="5" t="s">
        <v>286</v>
      </c>
      <c r="F215" s="6" t="s">
        <v>161</v>
      </c>
      <c r="G215" s="6">
        <f>_xlfn.XLOOKUP(DATA_TABLE[[#This Row],[Matricule]],GLOBAL!$B$2:$B$351,GLOBAL!$F$2:$F$351,"not found")</f>
        <v>24</v>
      </c>
      <c r="H215" s="5" t="s">
        <v>285</v>
      </c>
    </row>
    <row r="216" spans="1:8" ht="15.75" x14ac:dyDescent="0.25">
      <c r="A216" s="4">
        <v>63001358</v>
      </c>
      <c r="B216" s="4">
        <v>844826001447</v>
      </c>
      <c r="C216" s="5" t="s">
        <v>1492</v>
      </c>
      <c r="D216" s="6" t="s">
        <v>74</v>
      </c>
      <c r="E216" s="5" t="s">
        <v>491</v>
      </c>
      <c r="F216" s="6" t="s">
        <v>161</v>
      </c>
      <c r="G216" s="6"/>
      <c r="H216" s="5" t="s">
        <v>756</v>
      </c>
    </row>
    <row r="217" spans="1:8" ht="15.75" x14ac:dyDescent="0.25">
      <c r="A217" s="4">
        <v>63001372</v>
      </c>
      <c r="B217" s="4">
        <v>911256006345</v>
      </c>
      <c r="C217" s="5" t="s">
        <v>1493</v>
      </c>
      <c r="D217" s="6" t="s">
        <v>74</v>
      </c>
      <c r="E217" s="5" t="s">
        <v>293</v>
      </c>
      <c r="F217" s="6" t="s">
        <v>161</v>
      </c>
      <c r="G217" s="6"/>
      <c r="H217" s="5" t="s">
        <v>757</v>
      </c>
    </row>
    <row r="218" spans="1:8" ht="15.75" x14ac:dyDescent="0.25">
      <c r="A218" s="4">
        <v>63001373</v>
      </c>
      <c r="B218" s="4">
        <v>910193017835</v>
      </c>
      <c r="C218" s="5" t="s">
        <v>1494</v>
      </c>
      <c r="D218" s="6" t="s">
        <v>74</v>
      </c>
      <c r="E218" s="5" t="s">
        <v>293</v>
      </c>
      <c r="F218" s="6" t="s">
        <v>161</v>
      </c>
      <c r="G218" s="6"/>
      <c r="H218" s="5" t="s">
        <v>758</v>
      </c>
    </row>
    <row r="219" spans="1:8" ht="15.75" x14ac:dyDescent="0.25">
      <c r="A219" s="4">
        <v>63001374</v>
      </c>
      <c r="B219" s="4">
        <v>870074056437</v>
      </c>
      <c r="C219" s="5" t="s">
        <v>1495</v>
      </c>
      <c r="D219" s="6" t="s">
        <v>74</v>
      </c>
      <c r="E219" s="5" t="s">
        <v>196</v>
      </c>
      <c r="F219" s="6" t="s">
        <v>161</v>
      </c>
      <c r="G219" s="6"/>
      <c r="H219" s="5" t="s">
        <v>759</v>
      </c>
    </row>
    <row r="220" spans="1:8" ht="15.75" x14ac:dyDescent="0.25">
      <c r="A220" s="4">
        <v>63001375</v>
      </c>
      <c r="B220" s="4">
        <v>855380001245</v>
      </c>
      <c r="C220" s="5" t="s">
        <v>1496</v>
      </c>
      <c r="D220" s="6" t="s">
        <v>74</v>
      </c>
      <c r="E220" s="5" t="s">
        <v>196</v>
      </c>
      <c r="F220" s="6" t="s">
        <v>161</v>
      </c>
      <c r="G220" s="6"/>
      <c r="H220" s="5" t="s">
        <v>760</v>
      </c>
    </row>
    <row r="221" spans="1:8" ht="15.75" x14ac:dyDescent="0.25">
      <c r="A221" s="4">
        <v>63001376</v>
      </c>
      <c r="B221" s="4">
        <v>860244014450</v>
      </c>
      <c r="C221" s="5" t="s">
        <v>1497</v>
      </c>
      <c r="D221" s="6" t="s">
        <v>74</v>
      </c>
      <c r="E221" s="5" t="s">
        <v>196</v>
      </c>
      <c r="F221" s="6" t="s">
        <v>161</v>
      </c>
      <c r="G221" s="6"/>
      <c r="H221" s="5" t="s">
        <v>761</v>
      </c>
    </row>
    <row r="222" spans="1:8" ht="15.75" x14ac:dyDescent="0.25">
      <c r="A222" s="4">
        <v>63001377</v>
      </c>
      <c r="B222" s="4">
        <v>871140004057</v>
      </c>
      <c r="C222" s="5" t="s">
        <v>1498</v>
      </c>
      <c r="D222" s="6" t="s">
        <v>74</v>
      </c>
      <c r="E222" s="5" t="s">
        <v>196</v>
      </c>
      <c r="F222" s="6" t="s">
        <v>161</v>
      </c>
      <c r="G222" s="6"/>
      <c r="H222" s="5" t="s">
        <v>762</v>
      </c>
    </row>
    <row r="223" spans="1:8" ht="15.75" x14ac:dyDescent="0.25">
      <c r="A223" s="4">
        <v>63001379</v>
      </c>
      <c r="B223" s="4">
        <v>859582000433</v>
      </c>
      <c r="C223" s="5" t="s">
        <v>1499</v>
      </c>
      <c r="D223" s="6" t="s">
        <v>74</v>
      </c>
      <c r="E223" s="5" t="s">
        <v>196</v>
      </c>
      <c r="F223" s="6" t="s">
        <v>161</v>
      </c>
      <c r="G223" s="6"/>
      <c r="H223" s="5" t="s">
        <v>763</v>
      </c>
    </row>
    <row r="224" spans="1:8" ht="15.75" x14ac:dyDescent="0.25">
      <c r="A224" s="4">
        <v>63001380</v>
      </c>
      <c r="B224" s="4">
        <v>890088016433</v>
      </c>
      <c r="C224" s="5" t="s">
        <v>1500</v>
      </c>
      <c r="D224" s="6" t="s">
        <v>74</v>
      </c>
      <c r="E224" s="5" t="s">
        <v>196</v>
      </c>
      <c r="F224" s="6" t="s">
        <v>161</v>
      </c>
      <c r="G224" s="6"/>
      <c r="H224" s="5" t="s">
        <v>764</v>
      </c>
    </row>
    <row r="225" spans="1:8" ht="15.75" x14ac:dyDescent="0.25">
      <c r="A225" s="4">
        <v>63001381</v>
      </c>
      <c r="B225" s="4">
        <v>880081030550</v>
      </c>
      <c r="C225" s="5" t="s">
        <v>1501</v>
      </c>
      <c r="D225" s="6" t="s">
        <v>74</v>
      </c>
      <c r="E225" s="5" t="s">
        <v>196</v>
      </c>
      <c r="F225" s="6" t="s">
        <v>161</v>
      </c>
      <c r="G225" s="6"/>
      <c r="H225" s="5" t="s">
        <v>765</v>
      </c>
    </row>
    <row r="226" spans="1:8" ht="15.75" x14ac:dyDescent="0.25">
      <c r="A226" s="4">
        <v>63001382</v>
      </c>
      <c r="B226" s="4">
        <v>880392006337</v>
      </c>
      <c r="C226" s="5" t="s">
        <v>1502</v>
      </c>
      <c r="D226" s="6" t="s">
        <v>74</v>
      </c>
      <c r="E226" s="5" t="s">
        <v>334</v>
      </c>
      <c r="F226" s="6" t="s">
        <v>161</v>
      </c>
      <c r="G226" s="6"/>
      <c r="H226" s="5" t="s">
        <v>766</v>
      </c>
    </row>
    <row r="227" spans="1:8" ht="15.75" x14ac:dyDescent="0.25">
      <c r="A227" s="4">
        <v>63001383</v>
      </c>
      <c r="B227" s="4">
        <v>911659003740</v>
      </c>
      <c r="C227" s="5" t="s">
        <v>1503</v>
      </c>
      <c r="D227" s="6" t="s">
        <v>74</v>
      </c>
      <c r="E227" s="5" t="s">
        <v>481</v>
      </c>
      <c r="F227" s="6" t="s">
        <v>161</v>
      </c>
      <c r="G227" s="6"/>
      <c r="H227" s="5" t="s">
        <v>767</v>
      </c>
    </row>
    <row r="228" spans="1:8" ht="15.75" x14ac:dyDescent="0.25">
      <c r="A228" s="4">
        <v>63001384</v>
      </c>
      <c r="B228" s="4">
        <v>860559003146</v>
      </c>
      <c r="C228" s="5" t="s">
        <v>1504</v>
      </c>
      <c r="D228" s="6" t="s">
        <v>74</v>
      </c>
      <c r="E228" s="5" t="s">
        <v>196</v>
      </c>
      <c r="F228" s="6" t="s">
        <v>161</v>
      </c>
      <c r="G228" s="6"/>
      <c r="H228" s="5" t="s">
        <v>768</v>
      </c>
    </row>
    <row r="229" spans="1:8" ht="15.75" x14ac:dyDescent="0.25">
      <c r="A229" s="4">
        <v>63001385</v>
      </c>
      <c r="B229" s="4">
        <v>874799001428</v>
      </c>
      <c r="C229" s="5" t="s">
        <v>1505</v>
      </c>
      <c r="D229" s="6" t="s">
        <v>74</v>
      </c>
      <c r="E229" s="5" t="s">
        <v>196</v>
      </c>
      <c r="F229" s="6" t="s">
        <v>161</v>
      </c>
      <c r="G229" s="6"/>
      <c r="H229" s="5" t="s">
        <v>769</v>
      </c>
    </row>
    <row r="230" spans="1:8" ht="15.75" x14ac:dyDescent="0.25">
      <c r="A230" s="4">
        <v>63001386</v>
      </c>
      <c r="B230" s="4">
        <v>911062005450</v>
      </c>
      <c r="C230" s="5" t="s">
        <v>1506</v>
      </c>
      <c r="D230" s="6" t="s">
        <v>74</v>
      </c>
      <c r="E230" s="5" t="s">
        <v>196</v>
      </c>
      <c r="F230" s="6" t="s">
        <v>161</v>
      </c>
      <c r="G230" s="6"/>
      <c r="H230" s="5" t="s">
        <v>770</v>
      </c>
    </row>
    <row r="231" spans="1:8" ht="15.75" x14ac:dyDescent="0.25">
      <c r="A231" s="4">
        <v>63001387</v>
      </c>
      <c r="B231" s="4">
        <v>890399010736</v>
      </c>
      <c r="C231" s="5" t="s">
        <v>1507</v>
      </c>
      <c r="D231" s="6" t="s">
        <v>74</v>
      </c>
      <c r="E231" s="5" t="s">
        <v>424</v>
      </c>
      <c r="F231" s="6" t="s">
        <v>161</v>
      </c>
      <c r="G231" s="6"/>
      <c r="H231" s="5" t="s">
        <v>771</v>
      </c>
    </row>
    <row r="232" spans="1:8" ht="15.75" x14ac:dyDescent="0.25">
      <c r="A232" s="4">
        <v>63001388</v>
      </c>
      <c r="B232" s="4">
        <v>892294001341</v>
      </c>
      <c r="C232" s="5" t="s">
        <v>1508</v>
      </c>
      <c r="D232" s="6" t="s">
        <v>74</v>
      </c>
      <c r="E232" s="9" t="s">
        <v>541</v>
      </c>
      <c r="F232" s="10" t="s">
        <v>541</v>
      </c>
      <c r="G232" s="6"/>
      <c r="H232" s="5" t="s">
        <v>772</v>
      </c>
    </row>
    <row r="233" spans="1:8" ht="15.75" x14ac:dyDescent="0.25">
      <c r="A233" s="4">
        <v>63001389</v>
      </c>
      <c r="B233" s="4">
        <v>850099021740</v>
      </c>
      <c r="C233" s="5" t="s">
        <v>1509</v>
      </c>
      <c r="D233" s="6" t="s">
        <v>74</v>
      </c>
      <c r="E233" s="5" t="s">
        <v>196</v>
      </c>
      <c r="F233" s="6" t="s">
        <v>161</v>
      </c>
      <c r="G233" s="6"/>
      <c r="H233" s="5" t="s">
        <v>773</v>
      </c>
    </row>
    <row r="234" spans="1:8" ht="15.75" x14ac:dyDescent="0.25">
      <c r="A234" s="4">
        <v>63001390</v>
      </c>
      <c r="B234" s="4">
        <v>840382024345</v>
      </c>
      <c r="C234" s="5" t="s">
        <v>1510</v>
      </c>
      <c r="D234" s="6" t="s">
        <v>74</v>
      </c>
      <c r="E234" s="5" t="s">
        <v>196</v>
      </c>
      <c r="F234" s="6" t="s">
        <v>161</v>
      </c>
      <c r="G234" s="6"/>
      <c r="H234" s="5" t="s">
        <v>774</v>
      </c>
    </row>
    <row r="235" spans="1:8" ht="15.75" x14ac:dyDescent="0.25">
      <c r="A235" s="4">
        <v>63001391</v>
      </c>
      <c r="B235" s="4">
        <v>900310022268</v>
      </c>
      <c r="C235" s="5" t="s">
        <v>1511</v>
      </c>
      <c r="D235" s="6" t="s">
        <v>74</v>
      </c>
      <c r="E235" s="5" t="s">
        <v>196</v>
      </c>
      <c r="F235" s="6" t="s">
        <v>161</v>
      </c>
      <c r="G235" s="6"/>
      <c r="H235" s="5" t="s">
        <v>775</v>
      </c>
    </row>
    <row r="236" spans="1:8" ht="15.75" x14ac:dyDescent="0.25">
      <c r="A236" s="4">
        <v>63001392</v>
      </c>
      <c r="B236" s="4">
        <v>884570001442</v>
      </c>
      <c r="C236" s="5" t="s">
        <v>1512</v>
      </c>
      <c r="D236" s="6" t="s">
        <v>74</v>
      </c>
      <c r="E236" s="5" t="s">
        <v>269</v>
      </c>
      <c r="F236" s="6" t="s">
        <v>161</v>
      </c>
      <c r="G236" s="6">
        <f>_xlfn.XLOOKUP(DATA_TABLE[[#This Row],[Matricule]],GLOBAL!$B$2:$B$351,GLOBAL!$F$2:$F$351,"not found")</f>
        <v>22</v>
      </c>
      <c r="H236" s="5" t="s">
        <v>776</v>
      </c>
    </row>
    <row r="237" spans="1:8" ht="15.75" x14ac:dyDescent="0.25">
      <c r="A237" s="4">
        <v>63001404</v>
      </c>
      <c r="B237" s="4">
        <v>880014056844</v>
      </c>
      <c r="C237" s="5" t="s">
        <v>1513</v>
      </c>
      <c r="D237" s="6" t="s">
        <v>74</v>
      </c>
      <c r="E237" s="5" t="s">
        <v>206</v>
      </c>
      <c r="F237" s="6" t="s">
        <v>161</v>
      </c>
      <c r="G237" s="6"/>
      <c r="H237" s="5" t="s">
        <v>777</v>
      </c>
    </row>
    <row r="238" spans="1:8" ht="15.75" x14ac:dyDescent="0.25">
      <c r="A238" s="4">
        <v>63001421</v>
      </c>
      <c r="B238" s="4">
        <v>831314007946</v>
      </c>
      <c r="C238" s="5" t="s">
        <v>1514</v>
      </c>
      <c r="D238" s="6" t="s">
        <v>74</v>
      </c>
      <c r="E238" s="5" t="s">
        <v>491</v>
      </c>
      <c r="F238" s="6" t="s">
        <v>161</v>
      </c>
      <c r="G238" s="6"/>
      <c r="H238" s="5" t="s">
        <v>778</v>
      </c>
    </row>
    <row r="239" spans="1:8" ht="15.75" x14ac:dyDescent="0.25">
      <c r="A239" s="4">
        <v>63001461</v>
      </c>
      <c r="B239" s="4">
        <v>829853000339</v>
      </c>
      <c r="C239" s="5" t="s">
        <v>1515</v>
      </c>
      <c r="D239" s="6" t="s">
        <v>74</v>
      </c>
      <c r="E239" s="5" t="s">
        <v>479</v>
      </c>
      <c r="F239" s="6" t="s">
        <v>161</v>
      </c>
      <c r="G239" s="6"/>
      <c r="H239" s="5" t="s">
        <v>779</v>
      </c>
    </row>
    <row r="240" spans="1:8" ht="15.75" x14ac:dyDescent="0.25">
      <c r="A240" s="4">
        <v>63001462</v>
      </c>
      <c r="B240" s="4">
        <v>796958000235</v>
      </c>
      <c r="C240" s="5" t="s">
        <v>1516</v>
      </c>
      <c r="D240" s="6" t="s">
        <v>74</v>
      </c>
      <c r="E240" s="5" t="s">
        <v>247</v>
      </c>
      <c r="F240" s="6" t="s">
        <v>155</v>
      </c>
      <c r="G240" s="6"/>
      <c r="H240" s="5" t="s">
        <v>320</v>
      </c>
    </row>
    <row r="241" spans="1:8" ht="15.75" x14ac:dyDescent="0.25">
      <c r="A241" s="4">
        <v>63001463</v>
      </c>
      <c r="B241" s="4">
        <v>831624005549</v>
      </c>
      <c r="C241" s="5" t="s">
        <v>1517</v>
      </c>
      <c r="D241" s="6" t="s">
        <v>74</v>
      </c>
      <c r="E241" s="5" t="s">
        <v>247</v>
      </c>
      <c r="F241" s="6" t="s">
        <v>155</v>
      </c>
      <c r="G241" s="6"/>
      <c r="H241" s="5" t="s">
        <v>780</v>
      </c>
    </row>
    <row r="242" spans="1:8" ht="15.75" x14ac:dyDescent="0.25">
      <c r="A242" s="4">
        <v>63001464</v>
      </c>
      <c r="B242" s="4">
        <v>818464000145</v>
      </c>
      <c r="C242" s="5" t="s">
        <v>1518</v>
      </c>
      <c r="D242" s="6" t="s">
        <v>74</v>
      </c>
      <c r="E242" s="5" t="s">
        <v>421</v>
      </c>
      <c r="F242" s="6" t="s">
        <v>161</v>
      </c>
      <c r="G242" s="6"/>
      <c r="H242" s="5" t="s">
        <v>781</v>
      </c>
    </row>
    <row r="243" spans="1:8" ht="15.75" x14ac:dyDescent="0.25">
      <c r="A243" s="4">
        <v>63001465</v>
      </c>
      <c r="B243" s="4">
        <v>833791001739</v>
      </c>
      <c r="C243" s="5" t="s">
        <v>1519</v>
      </c>
      <c r="D243" s="6" t="s">
        <v>74</v>
      </c>
      <c r="E243" s="5" t="s">
        <v>482</v>
      </c>
      <c r="F243" s="6" t="s">
        <v>161</v>
      </c>
      <c r="G243" s="6"/>
      <c r="H243" s="5" t="s">
        <v>782</v>
      </c>
    </row>
    <row r="244" spans="1:8" ht="15.75" x14ac:dyDescent="0.25">
      <c r="A244" s="4">
        <v>63001466</v>
      </c>
      <c r="B244" s="4">
        <v>802392001648</v>
      </c>
      <c r="C244" s="5" t="s">
        <v>1520</v>
      </c>
      <c r="D244" s="6" t="s">
        <v>74</v>
      </c>
      <c r="E244" s="5" t="s">
        <v>247</v>
      </c>
      <c r="F244" s="6" t="s">
        <v>155</v>
      </c>
      <c r="G244" s="6"/>
      <c r="H244" s="5" t="s">
        <v>783</v>
      </c>
    </row>
    <row r="245" spans="1:8" ht="15.75" x14ac:dyDescent="0.25">
      <c r="A245" s="4">
        <v>63001481</v>
      </c>
      <c r="B245" s="4">
        <v>854609002051</v>
      </c>
      <c r="C245" s="5" t="s">
        <v>1521</v>
      </c>
      <c r="D245" s="6" t="s">
        <v>74</v>
      </c>
      <c r="E245" s="5" t="s">
        <v>479</v>
      </c>
      <c r="F245" s="6" t="s">
        <v>161</v>
      </c>
      <c r="G245" s="6"/>
      <c r="H245" s="5" t="s">
        <v>784</v>
      </c>
    </row>
    <row r="246" spans="1:8" ht="15.75" x14ac:dyDescent="0.25">
      <c r="A246" s="4">
        <v>63001482</v>
      </c>
      <c r="B246" s="4">
        <v>800127022362</v>
      </c>
      <c r="C246" s="5" t="s">
        <v>1522</v>
      </c>
      <c r="D246" s="6" t="s">
        <v>74</v>
      </c>
      <c r="E246" s="5" t="s">
        <v>247</v>
      </c>
      <c r="F246" s="6" t="s">
        <v>155</v>
      </c>
      <c r="G246" s="6"/>
      <c r="H246" s="5" t="s">
        <v>323</v>
      </c>
    </row>
    <row r="247" spans="1:8" ht="15.75" x14ac:dyDescent="0.25">
      <c r="A247" s="4">
        <v>63001483</v>
      </c>
      <c r="B247" s="4">
        <v>858856000434</v>
      </c>
      <c r="C247" s="5" t="s">
        <v>1523</v>
      </c>
      <c r="D247" s="6" t="s">
        <v>74</v>
      </c>
      <c r="E247" s="5" t="s">
        <v>293</v>
      </c>
      <c r="F247" s="6" t="s">
        <v>161</v>
      </c>
      <c r="G247" s="6"/>
      <c r="H247" s="5" t="s">
        <v>785</v>
      </c>
    </row>
    <row r="248" spans="1:8" ht="15.75" x14ac:dyDescent="0.25">
      <c r="A248" s="4">
        <v>63001484</v>
      </c>
      <c r="B248" s="4">
        <v>874732000548</v>
      </c>
      <c r="C248" s="5" t="s">
        <v>1524</v>
      </c>
      <c r="D248" s="6" t="s">
        <v>74</v>
      </c>
      <c r="E248" s="5" t="s">
        <v>293</v>
      </c>
      <c r="F248" s="6" t="s">
        <v>161</v>
      </c>
      <c r="G248" s="6"/>
      <c r="H248" s="5" t="s">
        <v>292</v>
      </c>
    </row>
    <row r="249" spans="1:8" ht="15.75" x14ac:dyDescent="0.25">
      <c r="A249" s="4">
        <v>63001504</v>
      </c>
      <c r="B249" s="4">
        <v>910153002854</v>
      </c>
      <c r="C249" s="5" t="s">
        <v>1525</v>
      </c>
      <c r="D249" s="6" t="s">
        <v>74</v>
      </c>
      <c r="E249" s="5" t="s">
        <v>196</v>
      </c>
      <c r="F249" s="6" t="s">
        <v>161</v>
      </c>
      <c r="G249" s="6"/>
      <c r="H249" s="5" t="s">
        <v>373</v>
      </c>
    </row>
    <row r="250" spans="1:8" ht="15.75" x14ac:dyDescent="0.25">
      <c r="A250" s="4">
        <v>63001509</v>
      </c>
      <c r="B250" s="4">
        <v>920701010466</v>
      </c>
      <c r="C250" s="5" t="s">
        <v>76</v>
      </c>
      <c r="D250" s="6" t="s">
        <v>74</v>
      </c>
      <c r="E250" s="9" t="s">
        <v>541</v>
      </c>
      <c r="F250" s="10" t="s">
        <v>541</v>
      </c>
      <c r="G250" s="6"/>
      <c r="H250" s="5" t="s">
        <v>1295</v>
      </c>
    </row>
    <row r="251" spans="1:8" ht="15.75" x14ac:dyDescent="0.25">
      <c r="A251" s="4">
        <v>63001511</v>
      </c>
      <c r="B251" s="4">
        <v>910174016543</v>
      </c>
      <c r="C251" s="5" t="s">
        <v>1526</v>
      </c>
      <c r="D251" s="6" t="s">
        <v>74</v>
      </c>
      <c r="E251" s="5" t="s">
        <v>196</v>
      </c>
      <c r="F251" s="6" t="s">
        <v>161</v>
      </c>
      <c r="G251" s="6"/>
      <c r="H251" s="5" t="s">
        <v>380</v>
      </c>
    </row>
    <row r="252" spans="1:8" ht="15.75" x14ac:dyDescent="0.25">
      <c r="A252" s="4">
        <v>63001512</v>
      </c>
      <c r="B252" s="4">
        <v>902425001359</v>
      </c>
      <c r="C252" s="5" t="s">
        <v>1527</v>
      </c>
      <c r="D252" s="6" t="s">
        <v>74</v>
      </c>
      <c r="E252" s="5" t="s">
        <v>257</v>
      </c>
      <c r="F252" s="6" t="s">
        <v>155</v>
      </c>
      <c r="G252" s="6"/>
      <c r="H252" s="5" t="s">
        <v>786</v>
      </c>
    </row>
    <row r="253" spans="1:8" ht="15.75" x14ac:dyDescent="0.25">
      <c r="A253" s="4">
        <v>63001513</v>
      </c>
      <c r="B253" s="4">
        <v>910217021461</v>
      </c>
      <c r="C253" s="5" t="s">
        <v>2066</v>
      </c>
      <c r="D253" s="6" t="s">
        <v>74</v>
      </c>
      <c r="E253" s="5" t="s">
        <v>334</v>
      </c>
      <c r="F253" s="6" t="s">
        <v>161</v>
      </c>
      <c r="G253" s="6"/>
      <c r="H253" s="5" t="s">
        <v>556</v>
      </c>
    </row>
    <row r="254" spans="1:8" ht="15.75" x14ac:dyDescent="0.25">
      <c r="A254" s="4">
        <v>63001514</v>
      </c>
      <c r="B254" s="4">
        <v>931508001853</v>
      </c>
      <c r="C254" s="5" t="s">
        <v>1528</v>
      </c>
      <c r="D254" s="6" t="s">
        <v>74</v>
      </c>
      <c r="E254" s="5" t="s">
        <v>196</v>
      </c>
      <c r="F254" s="6" t="s">
        <v>161</v>
      </c>
      <c r="G254" s="6"/>
      <c r="H254" s="5" t="s">
        <v>787</v>
      </c>
    </row>
    <row r="255" spans="1:8" ht="15.75" x14ac:dyDescent="0.25">
      <c r="A255" s="4">
        <v>63001517</v>
      </c>
      <c r="B255" s="4">
        <v>920893008925</v>
      </c>
      <c r="C255" s="5" t="s">
        <v>2067</v>
      </c>
      <c r="D255" s="6" t="s">
        <v>74</v>
      </c>
      <c r="E255" s="5" t="s">
        <v>247</v>
      </c>
      <c r="F255" s="6" t="s">
        <v>155</v>
      </c>
      <c r="G255" s="6"/>
      <c r="H255" s="5" t="s">
        <v>557</v>
      </c>
    </row>
    <row r="256" spans="1:8" ht="15.75" x14ac:dyDescent="0.25">
      <c r="A256" s="4">
        <v>63001518</v>
      </c>
      <c r="B256" s="4">
        <v>920651011653</v>
      </c>
      <c r="C256" s="5" t="s">
        <v>77</v>
      </c>
      <c r="D256" s="6" t="s">
        <v>74</v>
      </c>
      <c r="E256" s="5" t="s">
        <v>257</v>
      </c>
      <c r="F256" s="6" t="s">
        <v>155</v>
      </c>
      <c r="G256" s="6">
        <f>_xlfn.XLOOKUP(DATA_TABLE[[#This Row],[Matricule]],GLOBAL!$B$2:$B$351,GLOBAL!$F$2:$F$351,"not found")</f>
        <v>20</v>
      </c>
      <c r="H256" s="5" t="s">
        <v>256</v>
      </c>
    </row>
    <row r="257" spans="1:8" ht="15.75" x14ac:dyDescent="0.25">
      <c r="A257" s="4">
        <v>63001519</v>
      </c>
      <c r="B257" s="4">
        <v>910617003851</v>
      </c>
      <c r="C257" s="5" t="s">
        <v>78</v>
      </c>
      <c r="D257" s="6" t="s">
        <v>74</v>
      </c>
      <c r="E257" s="5" t="s">
        <v>227</v>
      </c>
      <c r="F257" s="6" t="s">
        <v>161</v>
      </c>
      <c r="G257" s="6">
        <f>_xlfn.XLOOKUP(DATA_TABLE[[#This Row],[Matricule]],GLOBAL!$B$2:$B$351,GLOBAL!$F$2:$F$351,"not found")</f>
        <v>21</v>
      </c>
      <c r="H257" s="5" t="s">
        <v>226</v>
      </c>
    </row>
    <row r="258" spans="1:8" ht="15.75" x14ac:dyDescent="0.25">
      <c r="A258" s="4">
        <v>63001521</v>
      </c>
      <c r="B258" s="4">
        <v>931857004439</v>
      </c>
      <c r="C258" s="5" t="s">
        <v>1529</v>
      </c>
      <c r="D258" s="6" t="s">
        <v>74</v>
      </c>
      <c r="E258" s="5" t="s">
        <v>196</v>
      </c>
      <c r="F258" s="6" t="s">
        <v>161</v>
      </c>
      <c r="G258" s="6"/>
      <c r="H258" s="5" t="s">
        <v>788</v>
      </c>
    </row>
    <row r="259" spans="1:8" ht="15.75" x14ac:dyDescent="0.25">
      <c r="A259" s="4">
        <v>63001523</v>
      </c>
      <c r="B259" s="4">
        <v>880197033337</v>
      </c>
      <c r="C259" s="5" t="s">
        <v>1530</v>
      </c>
      <c r="D259" s="6" t="s">
        <v>74</v>
      </c>
      <c r="E259" s="5" t="s">
        <v>346</v>
      </c>
      <c r="F259" s="6" t="s">
        <v>161</v>
      </c>
      <c r="G259" s="6"/>
      <c r="H259" s="5" t="s">
        <v>348</v>
      </c>
    </row>
    <row r="260" spans="1:8" ht="15.75" x14ac:dyDescent="0.25">
      <c r="A260" s="4">
        <v>63001527</v>
      </c>
      <c r="B260" s="4">
        <v>918164000245</v>
      </c>
      <c r="C260" s="5" t="s">
        <v>1531</v>
      </c>
      <c r="D260" s="6" t="s">
        <v>74</v>
      </c>
      <c r="E260" s="5" t="s">
        <v>196</v>
      </c>
      <c r="F260" s="6" t="s">
        <v>161</v>
      </c>
      <c r="G260" s="6"/>
      <c r="H260" s="5" t="s">
        <v>789</v>
      </c>
    </row>
    <row r="261" spans="1:8" ht="15.75" x14ac:dyDescent="0.25">
      <c r="A261" s="4">
        <v>63001530</v>
      </c>
      <c r="B261" s="4">
        <v>871689005033</v>
      </c>
      <c r="C261" s="5" t="s">
        <v>1532</v>
      </c>
      <c r="D261" s="6" t="s">
        <v>74</v>
      </c>
      <c r="E261" s="5" t="s">
        <v>247</v>
      </c>
      <c r="F261" s="6" t="s">
        <v>155</v>
      </c>
      <c r="G261" s="6"/>
      <c r="H261" s="5" t="s">
        <v>790</v>
      </c>
    </row>
    <row r="262" spans="1:8" ht="15.75" x14ac:dyDescent="0.25">
      <c r="A262" s="4">
        <v>63001541</v>
      </c>
      <c r="B262" s="4">
        <v>918908000245</v>
      </c>
      <c r="C262" s="5" t="s">
        <v>1533</v>
      </c>
      <c r="D262" s="6" t="s">
        <v>74</v>
      </c>
      <c r="E262" s="5" t="s">
        <v>196</v>
      </c>
      <c r="F262" s="6" t="s">
        <v>161</v>
      </c>
      <c r="G262" s="6"/>
      <c r="H262" s="5" t="s">
        <v>791</v>
      </c>
    </row>
    <row r="263" spans="1:8" ht="15.75" x14ac:dyDescent="0.25">
      <c r="A263" s="4">
        <v>63001544</v>
      </c>
      <c r="B263" s="4">
        <v>937463000144</v>
      </c>
      <c r="C263" s="5" t="s">
        <v>79</v>
      </c>
      <c r="D263" s="6" t="s">
        <v>74</v>
      </c>
      <c r="E263" s="5" t="s">
        <v>498</v>
      </c>
      <c r="F263" s="6" t="s">
        <v>161</v>
      </c>
      <c r="G263" s="6"/>
      <c r="H263" s="5" t="s">
        <v>1296</v>
      </c>
    </row>
    <row r="264" spans="1:8" ht="15.75" x14ac:dyDescent="0.25">
      <c r="A264" s="4">
        <v>63001545</v>
      </c>
      <c r="B264" s="4">
        <v>901352001854</v>
      </c>
      <c r="C264" s="5" t="s">
        <v>1534</v>
      </c>
      <c r="D264" s="6" t="s">
        <v>74</v>
      </c>
      <c r="E264" s="5" t="s">
        <v>493</v>
      </c>
      <c r="F264" s="6" t="s">
        <v>161</v>
      </c>
      <c r="G264" s="6"/>
      <c r="H264" s="5" t="s">
        <v>792</v>
      </c>
    </row>
    <row r="265" spans="1:8" ht="15.75" x14ac:dyDescent="0.25">
      <c r="A265" s="4">
        <v>63001546</v>
      </c>
      <c r="B265" s="4">
        <v>922423003949</v>
      </c>
      <c r="C265" s="5" t="s">
        <v>80</v>
      </c>
      <c r="D265" s="6" t="s">
        <v>74</v>
      </c>
      <c r="E265" s="5" t="s">
        <v>154</v>
      </c>
      <c r="F265" s="6" t="s">
        <v>155</v>
      </c>
      <c r="G265" s="6">
        <f>_xlfn.XLOOKUP(DATA_TABLE[[#This Row],[Matricule]],GLOBAL!$B$2:$B$351,GLOBAL!$F$2:$F$351,"not found")</f>
        <v>20</v>
      </c>
      <c r="H265" s="5" t="s">
        <v>153</v>
      </c>
    </row>
    <row r="266" spans="1:8" ht="15.75" x14ac:dyDescent="0.25">
      <c r="A266" s="4">
        <v>63001547</v>
      </c>
      <c r="B266" s="4">
        <v>924046001748</v>
      </c>
      <c r="C266" s="5" t="s">
        <v>1535</v>
      </c>
      <c r="D266" s="6" t="s">
        <v>74</v>
      </c>
      <c r="E266" s="5" t="s">
        <v>495</v>
      </c>
      <c r="F266" s="6" t="s">
        <v>161</v>
      </c>
      <c r="G266" s="6"/>
      <c r="H266" s="5" t="s">
        <v>793</v>
      </c>
    </row>
    <row r="267" spans="1:8" ht="15.75" x14ac:dyDescent="0.25">
      <c r="A267" s="4">
        <v>63001556</v>
      </c>
      <c r="B267" s="4">
        <v>920019049541</v>
      </c>
      <c r="C267" s="5" t="s">
        <v>1536</v>
      </c>
      <c r="D267" s="6" t="s">
        <v>74</v>
      </c>
      <c r="E267" s="5" t="s">
        <v>196</v>
      </c>
      <c r="F267" s="6" t="s">
        <v>161</v>
      </c>
      <c r="G267" s="6"/>
      <c r="H267" s="5" t="s">
        <v>794</v>
      </c>
    </row>
    <row r="268" spans="1:8" ht="15.75" x14ac:dyDescent="0.25">
      <c r="A268" s="4">
        <v>63001557</v>
      </c>
      <c r="B268" s="4">
        <v>901790005143</v>
      </c>
      <c r="C268" s="5" t="s">
        <v>1537</v>
      </c>
      <c r="D268" s="6" t="s">
        <v>74</v>
      </c>
      <c r="E268" s="5" t="s">
        <v>247</v>
      </c>
      <c r="F268" s="6" t="s">
        <v>155</v>
      </c>
      <c r="G268" s="6"/>
      <c r="H268" s="5" t="s">
        <v>795</v>
      </c>
    </row>
    <row r="269" spans="1:8" ht="15.75" x14ac:dyDescent="0.25">
      <c r="A269" s="4">
        <v>63001558</v>
      </c>
      <c r="B269" s="4">
        <v>896016000747</v>
      </c>
      <c r="C269" s="5" t="s">
        <v>1538</v>
      </c>
      <c r="D269" s="6" t="s">
        <v>74</v>
      </c>
      <c r="E269" s="5" t="s">
        <v>196</v>
      </c>
      <c r="F269" s="6" t="s">
        <v>161</v>
      </c>
      <c r="G269" s="6"/>
      <c r="H269" s="5" t="s">
        <v>796</v>
      </c>
    </row>
    <row r="270" spans="1:8" ht="15.75" x14ac:dyDescent="0.25">
      <c r="A270" s="4">
        <v>63001568</v>
      </c>
      <c r="B270" s="4">
        <v>921848005043</v>
      </c>
      <c r="C270" s="5" t="s">
        <v>81</v>
      </c>
      <c r="D270" s="6" t="s">
        <v>74</v>
      </c>
      <c r="E270" s="5" t="s">
        <v>483</v>
      </c>
      <c r="F270" s="6" t="s">
        <v>161</v>
      </c>
      <c r="G270" s="6">
        <f>_xlfn.XLOOKUP(DATA_TABLE[[#This Row],[Matricule]],GLOBAL!$B$2:$B$351,GLOBAL!$F$2:$F$351,"not found")</f>
        <v>21</v>
      </c>
      <c r="H270" s="5" t="s">
        <v>1297</v>
      </c>
    </row>
    <row r="271" spans="1:8" ht="15.75" x14ac:dyDescent="0.25">
      <c r="A271" s="4">
        <v>63001574</v>
      </c>
      <c r="B271" s="4">
        <v>910921008743</v>
      </c>
      <c r="C271" s="5" t="s">
        <v>1539</v>
      </c>
      <c r="D271" s="6" t="s">
        <v>74</v>
      </c>
      <c r="E271" s="9" t="s">
        <v>541</v>
      </c>
      <c r="F271" s="10" t="s">
        <v>541</v>
      </c>
      <c r="G271" s="6"/>
      <c r="H271" s="5" t="s">
        <v>797</v>
      </c>
    </row>
    <row r="272" spans="1:8" ht="15.75" x14ac:dyDescent="0.25">
      <c r="A272" s="4">
        <v>63001575</v>
      </c>
      <c r="B272" s="4">
        <v>870548015935</v>
      </c>
      <c r="C272" s="5" t="s">
        <v>1540</v>
      </c>
      <c r="D272" s="6" t="s">
        <v>74</v>
      </c>
      <c r="E272" s="5" t="s">
        <v>482</v>
      </c>
      <c r="F272" s="6" t="s">
        <v>161</v>
      </c>
      <c r="G272" s="6"/>
      <c r="H272" s="5" t="s">
        <v>798</v>
      </c>
    </row>
    <row r="273" spans="1:8" ht="15.75" x14ac:dyDescent="0.25">
      <c r="A273" s="4">
        <v>63001580</v>
      </c>
      <c r="B273" s="4">
        <v>926706000351</v>
      </c>
      <c r="C273" s="5" t="s">
        <v>1541</v>
      </c>
      <c r="D273" s="6" t="s">
        <v>74</v>
      </c>
      <c r="E273" s="5" t="s">
        <v>196</v>
      </c>
      <c r="F273" s="6" t="s">
        <v>161</v>
      </c>
      <c r="G273" s="6"/>
      <c r="H273" s="5" t="s">
        <v>799</v>
      </c>
    </row>
    <row r="274" spans="1:8" ht="15.75" x14ac:dyDescent="0.25">
      <c r="A274" s="4">
        <v>63001585</v>
      </c>
      <c r="B274" s="4">
        <v>923665000446</v>
      </c>
      <c r="C274" s="5" t="s">
        <v>1542</v>
      </c>
      <c r="D274" s="6" t="s">
        <v>74</v>
      </c>
      <c r="E274" s="5" t="s">
        <v>196</v>
      </c>
      <c r="F274" s="6" t="s">
        <v>161</v>
      </c>
      <c r="G274" s="6"/>
      <c r="H274" s="5" t="s">
        <v>800</v>
      </c>
    </row>
    <row r="275" spans="1:8" ht="15.75" x14ac:dyDescent="0.25">
      <c r="A275" s="4">
        <v>63001586</v>
      </c>
      <c r="B275" s="4">
        <v>912344003352</v>
      </c>
      <c r="C275" s="5" t="s">
        <v>1543</v>
      </c>
      <c r="D275" s="6" t="s">
        <v>74</v>
      </c>
      <c r="E275" s="5" t="s">
        <v>196</v>
      </c>
      <c r="F275" s="6" t="s">
        <v>161</v>
      </c>
      <c r="G275" s="6"/>
      <c r="H275" s="5" t="s">
        <v>801</v>
      </c>
    </row>
    <row r="276" spans="1:8" ht="15.75" x14ac:dyDescent="0.25">
      <c r="A276" s="4">
        <v>63001587</v>
      </c>
      <c r="B276" s="4">
        <v>900186029731</v>
      </c>
      <c r="C276" s="5" t="s">
        <v>1544</v>
      </c>
      <c r="D276" s="6" t="s">
        <v>74</v>
      </c>
      <c r="E276" s="5" t="s">
        <v>227</v>
      </c>
      <c r="F276" s="6" t="s">
        <v>161</v>
      </c>
      <c r="G276" s="6"/>
      <c r="H276" s="5" t="s">
        <v>802</v>
      </c>
    </row>
    <row r="277" spans="1:8" ht="15.75" x14ac:dyDescent="0.25">
      <c r="A277" s="4">
        <v>63001590</v>
      </c>
      <c r="B277" s="4">
        <v>930180017937</v>
      </c>
      <c r="C277" s="5" t="s">
        <v>82</v>
      </c>
      <c r="D277" s="6" t="s">
        <v>74</v>
      </c>
      <c r="E277" s="5" t="s">
        <v>227</v>
      </c>
      <c r="F277" s="6" t="s">
        <v>161</v>
      </c>
      <c r="G277" s="6"/>
      <c r="H277" s="5" t="s">
        <v>1298</v>
      </c>
    </row>
    <row r="278" spans="1:8" ht="15.75" x14ac:dyDescent="0.25">
      <c r="A278" s="4">
        <v>63001594</v>
      </c>
      <c r="B278" s="4">
        <v>890650013150</v>
      </c>
      <c r="C278" s="5" t="s">
        <v>1545</v>
      </c>
      <c r="D278" s="6" t="s">
        <v>74</v>
      </c>
      <c r="E278" s="5" t="s">
        <v>154</v>
      </c>
      <c r="F278" s="6" t="s">
        <v>155</v>
      </c>
      <c r="G278" s="6"/>
      <c r="H278" s="5" t="s">
        <v>803</v>
      </c>
    </row>
    <row r="279" spans="1:8" ht="15.75" x14ac:dyDescent="0.25">
      <c r="A279" s="4">
        <v>63001595</v>
      </c>
      <c r="B279" s="4">
        <v>907576000141</v>
      </c>
      <c r="C279" s="5" t="s">
        <v>1546</v>
      </c>
      <c r="D279" s="6" t="s">
        <v>74</v>
      </c>
      <c r="E279" s="5" t="s">
        <v>164</v>
      </c>
      <c r="F279" s="6" t="s">
        <v>161</v>
      </c>
      <c r="G279" s="6"/>
      <c r="H279" s="5" t="s">
        <v>322</v>
      </c>
    </row>
    <row r="280" spans="1:8" ht="15.75" x14ac:dyDescent="0.25">
      <c r="A280" s="4">
        <v>63001596</v>
      </c>
      <c r="B280" s="4">
        <v>902132001660</v>
      </c>
      <c r="C280" s="5" t="s">
        <v>1547</v>
      </c>
      <c r="D280" s="6" t="s">
        <v>74</v>
      </c>
      <c r="E280" s="5" t="s">
        <v>346</v>
      </c>
      <c r="F280" s="6" t="s">
        <v>161</v>
      </c>
      <c r="G280" s="6"/>
      <c r="H280" s="5" t="s">
        <v>804</v>
      </c>
    </row>
    <row r="281" spans="1:8" ht="15.75" x14ac:dyDescent="0.25">
      <c r="A281" s="4">
        <v>63001607</v>
      </c>
      <c r="B281" s="4">
        <v>910114002564</v>
      </c>
      <c r="C281" s="5" t="s">
        <v>83</v>
      </c>
      <c r="D281" s="6" t="s">
        <v>74</v>
      </c>
      <c r="E281" s="5" t="s">
        <v>369</v>
      </c>
      <c r="F281" s="6" t="s">
        <v>155</v>
      </c>
      <c r="G281" s="6"/>
      <c r="H281" s="5" t="s">
        <v>1299</v>
      </c>
    </row>
    <row r="282" spans="1:8" ht="15.75" x14ac:dyDescent="0.25">
      <c r="A282" s="4">
        <v>63001614</v>
      </c>
      <c r="B282" s="4">
        <v>879590000233</v>
      </c>
      <c r="C282" s="5" t="s">
        <v>1548</v>
      </c>
      <c r="D282" s="6" t="s">
        <v>74</v>
      </c>
      <c r="E282" s="5" t="s">
        <v>496</v>
      </c>
      <c r="F282" s="6" t="s">
        <v>155</v>
      </c>
      <c r="G282" s="6"/>
      <c r="H282" s="5" t="s">
        <v>805</v>
      </c>
    </row>
    <row r="283" spans="1:8" ht="15.75" x14ac:dyDescent="0.25">
      <c r="A283" s="4">
        <v>63001624</v>
      </c>
      <c r="B283" s="4">
        <v>930749011051</v>
      </c>
      <c r="C283" s="5" t="s">
        <v>84</v>
      </c>
      <c r="D283" s="6" t="s">
        <v>74</v>
      </c>
      <c r="E283" s="9" t="s">
        <v>541</v>
      </c>
      <c r="F283" s="10" t="s">
        <v>541</v>
      </c>
      <c r="G283" s="6"/>
      <c r="H283" s="5" t="s">
        <v>1300</v>
      </c>
    </row>
    <row r="284" spans="1:8" ht="15.75" x14ac:dyDescent="0.25">
      <c r="A284" s="4">
        <v>63001626</v>
      </c>
      <c r="B284" s="4">
        <v>860526010853</v>
      </c>
      <c r="C284" s="5" t="s">
        <v>1549</v>
      </c>
      <c r="D284" s="6" t="s">
        <v>74</v>
      </c>
      <c r="E284" s="5" t="s">
        <v>478</v>
      </c>
      <c r="F284" s="6" t="s">
        <v>161</v>
      </c>
      <c r="G284" s="6"/>
      <c r="H284" s="5" t="s">
        <v>806</v>
      </c>
    </row>
    <row r="285" spans="1:8" ht="15.75" x14ac:dyDescent="0.25">
      <c r="A285" s="4">
        <v>63001627</v>
      </c>
      <c r="B285" s="4">
        <v>910051027053</v>
      </c>
      <c r="C285" s="5" t="s">
        <v>1550</v>
      </c>
      <c r="D285" s="6" t="s">
        <v>74</v>
      </c>
      <c r="E285" s="5" t="s">
        <v>500</v>
      </c>
      <c r="F285" s="6" t="s">
        <v>231</v>
      </c>
      <c r="G285" s="6"/>
      <c r="H285" s="5" t="s">
        <v>807</v>
      </c>
    </row>
    <row r="286" spans="1:8" ht="15.75" x14ac:dyDescent="0.25">
      <c r="A286" s="4">
        <v>63001658</v>
      </c>
      <c r="B286" s="4">
        <v>920329016743</v>
      </c>
      <c r="C286" s="5" t="s">
        <v>1551</v>
      </c>
      <c r="D286" s="6" t="s">
        <v>74</v>
      </c>
      <c r="E286" s="5" t="s">
        <v>243</v>
      </c>
      <c r="F286" s="6" t="s">
        <v>161</v>
      </c>
      <c r="G286" s="6"/>
      <c r="H286" s="5" t="s">
        <v>808</v>
      </c>
    </row>
    <row r="287" spans="1:8" ht="15.75" x14ac:dyDescent="0.25">
      <c r="A287" s="4">
        <v>63001661</v>
      </c>
      <c r="B287" s="4">
        <v>930084039037</v>
      </c>
      <c r="C287" s="5" t="s">
        <v>85</v>
      </c>
      <c r="D287" s="6" t="s">
        <v>74</v>
      </c>
      <c r="E287" s="5" t="s">
        <v>336</v>
      </c>
      <c r="F287" s="6" t="s">
        <v>161</v>
      </c>
      <c r="G287" s="6"/>
      <c r="H287" s="5" t="s">
        <v>335</v>
      </c>
    </row>
    <row r="288" spans="1:8" ht="15.75" x14ac:dyDescent="0.25">
      <c r="A288" s="4">
        <v>63001669</v>
      </c>
      <c r="B288" s="4">
        <v>930141029741</v>
      </c>
      <c r="C288" s="5" t="s">
        <v>1552</v>
      </c>
      <c r="D288" s="6" t="s">
        <v>74</v>
      </c>
      <c r="E288" s="5" t="s">
        <v>154</v>
      </c>
      <c r="F288" s="6" t="s">
        <v>155</v>
      </c>
      <c r="G288" s="6"/>
      <c r="H288" s="5" t="s">
        <v>809</v>
      </c>
    </row>
    <row r="289" spans="1:8" ht="15.75" x14ac:dyDescent="0.25">
      <c r="A289" s="4">
        <v>63001670</v>
      </c>
      <c r="B289" s="4">
        <v>861851005046</v>
      </c>
      <c r="C289" s="5" t="s">
        <v>1553</v>
      </c>
      <c r="D289" s="6" t="s">
        <v>74</v>
      </c>
      <c r="E289" s="5" t="s">
        <v>247</v>
      </c>
      <c r="F289" s="6" t="s">
        <v>155</v>
      </c>
      <c r="G289" s="6"/>
      <c r="H289" s="5" t="s">
        <v>810</v>
      </c>
    </row>
    <row r="290" spans="1:8" ht="15.75" x14ac:dyDescent="0.25">
      <c r="A290" s="4">
        <v>63001671</v>
      </c>
      <c r="B290" s="4">
        <v>951334003451</v>
      </c>
      <c r="C290" s="5" t="s">
        <v>1554</v>
      </c>
      <c r="D290" s="6" t="s">
        <v>74</v>
      </c>
      <c r="E290" s="5" t="s">
        <v>247</v>
      </c>
      <c r="F290" s="6" t="s">
        <v>155</v>
      </c>
      <c r="G290" s="6"/>
      <c r="H290" s="5" t="s">
        <v>811</v>
      </c>
    </row>
    <row r="291" spans="1:8" ht="15.75" x14ac:dyDescent="0.25">
      <c r="A291" s="4">
        <v>63001673</v>
      </c>
      <c r="B291" s="4">
        <v>941804001457</v>
      </c>
      <c r="C291" s="5" t="s">
        <v>1555</v>
      </c>
      <c r="D291" s="6" t="s">
        <v>74</v>
      </c>
      <c r="E291" s="5" t="s">
        <v>247</v>
      </c>
      <c r="F291" s="6" t="s">
        <v>155</v>
      </c>
      <c r="G291" s="6"/>
      <c r="H291" s="5" t="s">
        <v>812</v>
      </c>
    </row>
    <row r="292" spans="1:8" ht="15.75" x14ac:dyDescent="0.25">
      <c r="A292" s="4">
        <v>63001675</v>
      </c>
      <c r="B292" s="4">
        <v>921365006243</v>
      </c>
      <c r="C292" s="5" t="s">
        <v>86</v>
      </c>
      <c r="D292" s="6" t="s">
        <v>74</v>
      </c>
      <c r="E292" s="5" t="s">
        <v>243</v>
      </c>
      <c r="F292" s="6" t="s">
        <v>161</v>
      </c>
      <c r="G292" s="6">
        <f>_xlfn.XLOOKUP(DATA_TABLE[[#This Row],[Matricule]],GLOBAL!$B$2:$B$351,GLOBAL!$F$2:$F$351,"not found")</f>
        <v>22</v>
      </c>
      <c r="H292" s="5" t="s">
        <v>242</v>
      </c>
    </row>
    <row r="293" spans="1:8" ht="15.75" x14ac:dyDescent="0.25">
      <c r="A293" s="4">
        <v>63001676</v>
      </c>
      <c r="B293" s="4">
        <v>911338001851</v>
      </c>
      <c r="C293" s="5" t="s">
        <v>2068</v>
      </c>
      <c r="D293" s="6" t="s">
        <v>74</v>
      </c>
      <c r="E293" s="5" t="s">
        <v>488</v>
      </c>
      <c r="F293" s="6" t="s">
        <v>161</v>
      </c>
      <c r="G293" s="6"/>
      <c r="H293" s="5" t="s">
        <v>558</v>
      </c>
    </row>
    <row r="294" spans="1:8" ht="15.75" x14ac:dyDescent="0.25">
      <c r="A294" s="4">
        <v>63001678</v>
      </c>
      <c r="B294" s="4">
        <v>920150033059</v>
      </c>
      <c r="C294" s="5" t="s">
        <v>1556</v>
      </c>
      <c r="D294" s="6" t="s">
        <v>74</v>
      </c>
      <c r="E294" s="5" t="s">
        <v>247</v>
      </c>
      <c r="F294" s="6" t="s">
        <v>155</v>
      </c>
      <c r="G294" s="6"/>
      <c r="H294" s="5" t="s">
        <v>813</v>
      </c>
    </row>
    <row r="295" spans="1:8" ht="15.75" x14ac:dyDescent="0.25">
      <c r="A295" s="4">
        <v>63001679</v>
      </c>
      <c r="B295" s="4">
        <v>951464001052</v>
      </c>
      <c r="C295" s="5" t="s">
        <v>1557</v>
      </c>
      <c r="D295" s="6" t="s">
        <v>74</v>
      </c>
      <c r="E295" s="5" t="s">
        <v>479</v>
      </c>
      <c r="F295" s="6" t="s">
        <v>161</v>
      </c>
      <c r="G295" s="6"/>
      <c r="H295" s="5" t="s">
        <v>814</v>
      </c>
    </row>
    <row r="296" spans="1:8" ht="15.75" x14ac:dyDescent="0.25">
      <c r="A296" s="4">
        <v>63001680</v>
      </c>
      <c r="B296" s="4">
        <v>951474004341</v>
      </c>
      <c r="C296" s="5" t="s">
        <v>1558</v>
      </c>
      <c r="D296" s="6" t="s">
        <v>74</v>
      </c>
      <c r="E296" s="5" t="s">
        <v>479</v>
      </c>
      <c r="F296" s="6" t="s">
        <v>161</v>
      </c>
      <c r="G296" s="6"/>
      <c r="H296" s="5" t="s">
        <v>815</v>
      </c>
    </row>
    <row r="297" spans="1:8" ht="15.75" x14ac:dyDescent="0.25">
      <c r="A297" s="4">
        <v>63001683</v>
      </c>
      <c r="B297" s="4">
        <v>941373003445</v>
      </c>
      <c r="C297" s="5" t="s">
        <v>1559</v>
      </c>
      <c r="D297" s="6" t="s">
        <v>74</v>
      </c>
      <c r="E297" s="5" t="s">
        <v>247</v>
      </c>
      <c r="F297" s="6" t="s">
        <v>155</v>
      </c>
      <c r="G297" s="6"/>
      <c r="H297" s="5" t="s">
        <v>816</v>
      </c>
    </row>
    <row r="298" spans="1:8" ht="15.75" x14ac:dyDescent="0.25">
      <c r="A298" s="4">
        <v>63001722</v>
      </c>
      <c r="B298" s="4">
        <v>910696012540</v>
      </c>
      <c r="C298" s="5" t="s">
        <v>1560</v>
      </c>
      <c r="D298" s="6" t="s">
        <v>74</v>
      </c>
      <c r="E298" s="5" t="s">
        <v>336</v>
      </c>
      <c r="F298" s="6" t="s">
        <v>161</v>
      </c>
      <c r="G298" s="6"/>
      <c r="H298" s="5" t="s">
        <v>817</v>
      </c>
    </row>
    <row r="299" spans="1:8" ht="15.75" x14ac:dyDescent="0.25">
      <c r="A299" s="4">
        <v>63001724</v>
      </c>
      <c r="B299" s="4">
        <v>660343002459</v>
      </c>
      <c r="C299" s="5" t="s">
        <v>1561</v>
      </c>
      <c r="D299" s="6" t="s">
        <v>74</v>
      </c>
      <c r="E299" s="5" t="s">
        <v>281</v>
      </c>
      <c r="F299" s="6" t="s">
        <v>161</v>
      </c>
      <c r="G299" s="6"/>
      <c r="H299" s="5" t="s">
        <v>818</v>
      </c>
    </row>
    <row r="300" spans="1:8" ht="15.75" x14ac:dyDescent="0.25">
      <c r="A300" s="4">
        <v>63001751</v>
      </c>
      <c r="B300" s="4">
        <v>665420000261</v>
      </c>
      <c r="C300" s="5" t="s">
        <v>1562</v>
      </c>
      <c r="D300" s="6" t="s">
        <v>74</v>
      </c>
      <c r="E300" s="5" t="s">
        <v>487</v>
      </c>
      <c r="F300" s="6" t="s">
        <v>161</v>
      </c>
      <c r="G300" s="6"/>
      <c r="H300" s="5" t="s">
        <v>819</v>
      </c>
    </row>
    <row r="301" spans="1:8" ht="15.75" x14ac:dyDescent="0.25">
      <c r="A301" s="4">
        <v>63001754</v>
      </c>
      <c r="B301" s="4">
        <v>701424002265</v>
      </c>
      <c r="C301" s="5" t="s">
        <v>1563</v>
      </c>
      <c r="D301" s="6" t="s">
        <v>74</v>
      </c>
      <c r="E301" s="5" t="s">
        <v>281</v>
      </c>
      <c r="F301" s="6" t="s">
        <v>161</v>
      </c>
      <c r="G301" s="6"/>
      <c r="H301" s="5" t="s">
        <v>820</v>
      </c>
    </row>
    <row r="302" spans="1:8" ht="15.75" x14ac:dyDescent="0.25">
      <c r="A302" s="4">
        <v>63001763</v>
      </c>
      <c r="B302" s="4">
        <v>710342005952</v>
      </c>
      <c r="C302" s="5" t="s">
        <v>1564</v>
      </c>
      <c r="D302" s="6" t="s">
        <v>74</v>
      </c>
      <c r="E302" s="5" t="s">
        <v>492</v>
      </c>
      <c r="F302" s="6" t="s">
        <v>161</v>
      </c>
      <c r="G302" s="6"/>
      <c r="H302" s="5" t="s">
        <v>821</v>
      </c>
    </row>
    <row r="303" spans="1:8" ht="15.75" x14ac:dyDescent="0.25">
      <c r="A303" s="4">
        <v>63001773</v>
      </c>
      <c r="B303" s="4">
        <v>930483018632</v>
      </c>
      <c r="C303" s="5" t="s">
        <v>1565</v>
      </c>
      <c r="D303" s="6" t="s">
        <v>74</v>
      </c>
      <c r="E303" s="5" t="s">
        <v>479</v>
      </c>
      <c r="F303" s="6" t="s">
        <v>161</v>
      </c>
      <c r="G303" s="6"/>
      <c r="H303" s="5" t="s">
        <v>822</v>
      </c>
    </row>
    <row r="304" spans="1:8" ht="15.75" x14ac:dyDescent="0.25">
      <c r="A304" s="4">
        <v>63001774</v>
      </c>
      <c r="B304" s="4">
        <v>910708001756</v>
      </c>
      <c r="C304" s="5" t="s">
        <v>1566</v>
      </c>
      <c r="D304" s="6" t="s">
        <v>74</v>
      </c>
      <c r="E304" s="5" t="s">
        <v>221</v>
      </c>
      <c r="F304" s="6" t="s">
        <v>155</v>
      </c>
      <c r="G304" s="6"/>
      <c r="H304" s="5" t="s">
        <v>823</v>
      </c>
    </row>
    <row r="305" spans="1:8" ht="15.75" x14ac:dyDescent="0.25">
      <c r="A305" s="4">
        <v>63001776</v>
      </c>
      <c r="B305" s="4">
        <v>969448000235</v>
      </c>
      <c r="C305" s="5" t="s">
        <v>1567</v>
      </c>
      <c r="D305" s="6" t="s">
        <v>74</v>
      </c>
      <c r="E305" s="5" t="s">
        <v>221</v>
      </c>
      <c r="F305" s="6" t="s">
        <v>155</v>
      </c>
      <c r="G305" s="6"/>
      <c r="H305" s="5" t="s">
        <v>291</v>
      </c>
    </row>
    <row r="306" spans="1:8" ht="15.75" x14ac:dyDescent="0.25">
      <c r="A306" s="4">
        <v>63001778</v>
      </c>
      <c r="B306" s="4">
        <v>961099001935</v>
      </c>
      <c r="C306" s="5" t="s">
        <v>1568</v>
      </c>
      <c r="D306" s="6" t="s">
        <v>74</v>
      </c>
      <c r="E306" s="5" t="s">
        <v>247</v>
      </c>
      <c r="F306" s="6" t="s">
        <v>155</v>
      </c>
      <c r="G306" s="6"/>
      <c r="H306" s="5" t="s">
        <v>824</v>
      </c>
    </row>
    <row r="307" spans="1:8" ht="15.75" x14ac:dyDescent="0.25">
      <c r="A307" s="4">
        <v>63001780</v>
      </c>
      <c r="B307" s="4">
        <v>971154006342</v>
      </c>
      <c r="C307" s="5" t="s">
        <v>1569</v>
      </c>
      <c r="D307" s="6" t="s">
        <v>74</v>
      </c>
      <c r="E307" s="5" t="s">
        <v>247</v>
      </c>
      <c r="F307" s="6" t="s">
        <v>155</v>
      </c>
      <c r="G307" s="6"/>
      <c r="H307" s="5" t="s">
        <v>825</v>
      </c>
    </row>
    <row r="308" spans="1:8" ht="15.75" x14ac:dyDescent="0.25">
      <c r="A308" s="4">
        <v>63001781</v>
      </c>
      <c r="B308" s="4">
        <v>930599005531</v>
      </c>
      <c r="C308" s="5" t="s">
        <v>1570</v>
      </c>
      <c r="D308" s="6" t="s">
        <v>74</v>
      </c>
      <c r="E308" s="5" t="s">
        <v>247</v>
      </c>
      <c r="F308" s="6" t="s">
        <v>155</v>
      </c>
      <c r="G308" s="6"/>
      <c r="H308" s="5" t="s">
        <v>826</v>
      </c>
    </row>
    <row r="309" spans="1:8" ht="15.75" x14ac:dyDescent="0.25">
      <c r="A309" s="4">
        <v>63001782</v>
      </c>
      <c r="B309" s="4">
        <v>930829002944</v>
      </c>
      <c r="C309" s="5" t="s">
        <v>1571</v>
      </c>
      <c r="D309" s="6" t="s">
        <v>74</v>
      </c>
      <c r="E309" s="5" t="s">
        <v>257</v>
      </c>
      <c r="F309" s="6" t="s">
        <v>155</v>
      </c>
      <c r="G309" s="6"/>
      <c r="H309" s="5" t="s">
        <v>827</v>
      </c>
    </row>
    <row r="310" spans="1:8" ht="15.75" x14ac:dyDescent="0.25">
      <c r="A310" s="4">
        <v>63001783</v>
      </c>
      <c r="B310" s="4">
        <v>980213004850</v>
      </c>
      <c r="C310" s="5" t="s">
        <v>1572</v>
      </c>
      <c r="D310" s="6" t="s">
        <v>74</v>
      </c>
      <c r="E310" s="5" t="s">
        <v>479</v>
      </c>
      <c r="F310" s="6" t="s">
        <v>161</v>
      </c>
      <c r="G310" s="6"/>
      <c r="H310" s="5" t="s">
        <v>828</v>
      </c>
    </row>
    <row r="311" spans="1:8" ht="15.75" x14ac:dyDescent="0.25">
      <c r="A311" s="4">
        <v>63001784</v>
      </c>
      <c r="B311" s="4">
        <v>870161029636</v>
      </c>
      <c r="C311" s="5" t="s">
        <v>1573</v>
      </c>
      <c r="D311" s="6" t="s">
        <v>74</v>
      </c>
      <c r="E311" s="5" t="s">
        <v>494</v>
      </c>
      <c r="F311" s="6" t="s">
        <v>155</v>
      </c>
      <c r="G311" s="6"/>
      <c r="H311" s="5" t="s">
        <v>829</v>
      </c>
    </row>
    <row r="312" spans="1:8" ht="15.75" x14ac:dyDescent="0.25">
      <c r="A312" s="4">
        <v>63001785</v>
      </c>
      <c r="B312" s="4">
        <v>958531000345</v>
      </c>
      <c r="C312" s="5" t="s">
        <v>1574</v>
      </c>
      <c r="D312" s="6" t="s">
        <v>74</v>
      </c>
      <c r="E312" s="5" t="s">
        <v>247</v>
      </c>
      <c r="F312" s="6" t="s">
        <v>155</v>
      </c>
      <c r="G312" s="6"/>
      <c r="H312" s="5" t="s">
        <v>340</v>
      </c>
    </row>
    <row r="313" spans="1:8" ht="15.75" x14ac:dyDescent="0.25">
      <c r="A313" s="4">
        <v>63001788</v>
      </c>
      <c r="B313" s="4">
        <v>872863000445</v>
      </c>
      <c r="C313" s="5" t="s">
        <v>1575</v>
      </c>
      <c r="D313" s="6" t="s">
        <v>74</v>
      </c>
      <c r="E313" s="5" t="s">
        <v>277</v>
      </c>
      <c r="F313" s="6" t="s">
        <v>155</v>
      </c>
      <c r="G313" s="6">
        <f>_xlfn.XLOOKUP(DATA_TABLE[[#This Row],[Matricule]],GLOBAL!$B$2:$B$351,GLOBAL!$F$2:$F$351,"not found")</f>
        <v>18</v>
      </c>
      <c r="H313" s="5" t="s">
        <v>276</v>
      </c>
    </row>
    <row r="314" spans="1:8" ht="15.75" x14ac:dyDescent="0.25">
      <c r="A314" s="4">
        <v>63001789</v>
      </c>
      <c r="B314" s="4">
        <v>950038032847</v>
      </c>
      <c r="C314" s="5" t="s">
        <v>1576</v>
      </c>
      <c r="D314" s="6" t="s">
        <v>74</v>
      </c>
      <c r="E314" s="5" t="s">
        <v>257</v>
      </c>
      <c r="F314" s="6" t="s">
        <v>155</v>
      </c>
      <c r="G314" s="6"/>
      <c r="H314" s="5" t="s">
        <v>830</v>
      </c>
    </row>
    <row r="315" spans="1:8" ht="15.75" x14ac:dyDescent="0.25">
      <c r="A315" s="4">
        <v>63001791</v>
      </c>
      <c r="B315" s="4">
        <v>901231008450</v>
      </c>
      <c r="C315" s="5" t="s">
        <v>1577</v>
      </c>
      <c r="D315" s="6" t="s">
        <v>74</v>
      </c>
      <c r="E315" s="9" t="s">
        <v>541</v>
      </c>
      <c r="F315" s="10" t="s">
        <v>541</v>
      </c>
      <c r="G315" s="6"/>
      <c r="H315" s="5" t="s">
        <v>831</v>
      </c>
    </row>
    <row r="316" spans="1:8" ht="15.75" x14ac:dyDescent="0.25">
      <c r="A316" s="4">
        <v>63001795</v>
      </c>
      <c r="B316" s="4">
        <v>882153001946</v>
      </c>
      <c r="C316" s="5" t="s">
        <v>1578</v>
      </c>
      <c r="D316" s="6" t="s">
        <v>74</v>
      </c>
      <c r="E316" s="5" t="s">
        <v>494</v>
      </c>
      <c r="F316" s="6" t="s">
        <v>155</v>
      </c>
      <c r="G316" s="6"/>
      <c r="H316" s="5" t="s">
        <v>832</v>
      </c>
    </row>
    <row r="317" spans="1:8" ht="15.75" x14ac:dyDescent="0.25">
      <c r="A317" s="4">
        <v>63001796</v>
      </c>
      <c r="B317" s="4">
        <v>896819000340</v>
      </c>
      <c r="C317" s="5" t="s">
        <v>1579</v>
      </c>
      <c r="D317" s="6" t="s">
        <v>74</v>
      </c>
      <c r="E317" s="5" t="s">
        <v>221</v>
      </c>
      <c r="F317" s="6" t="s">
        <v>155</v>
      </c>
      <c r="G317" s="6">
        <f>_xlfn.XLOOKUP(DATA_TABLE[[#This Row],[Matricule]],GLOBAL!$B$2:$B$351,GLOBAL!$F$2:$F$351,"not found")</f>
        <v>17</v>
      </c>
      <c r="H317" s="5" t="s">
        <v>220</v>
      </c>
    </row>
    <row r="318" spans="1:8" ht="15.75" x14ac:dyDescent="0.25">
      <c r="A318" s="4">
        <v>63001798</v>
      </c>
      <c r="B318" s="4">
        <v>872132001556</v>
      </c>
      <c r="C318" s="5" t="s">
        <v>1580</v>
      </c>
      <c r="D318" s="6" t="s">
        <v>74</v>
      </c>
      <c r="E318" s="5" t="s">
        <v>277</v>
      </c>
      <c r="F318" s="6" t="s">
        <v>155</v>
      </c>
      <c r="G318" s="6"/>
      <c r="H318" s="5" t="s">
        <v>833</v>
      </c>
    </row>
    <row r="319" spans="1:8" ht="15.75" x14ac:dyDescent="0.25">
      <c r="A319" s="4">
        <v>63001799</v>
      </c>
      <c r="B319" s="4">
        <v>870060030655</v>
      </c>
      <c r="C319" s="5" t="s">
        <v>1581</v>
      </c>
      <c r="D319" s="6" t="s">
        <v>74</v>
      </c>
      <c r="E319" s="5" t="s">
        <v>221</v>
      </c>
      <c r="F319" s="6" t="s">
        <v>155</v>
      </c>
      <c r="G319" s="6"/>
      <c r="H319" s="5" t="s">
        <v>834</v>
      </c>
    </row>
    <row r="320" spans="1:8" ht="15.75" x14ac:dyDescent="0.25">
      <c r="A320" s="4">
        <v>63001801</v>
      </c>
      <c r="B320" s="4">
        <v>922781002641</v>
      </c>
      <c r="C320" s="5" t="s">
        <v>1582</v>
      </c>
      <c r="D320" s="6" t="s">
        <v>74</v>
      </c>
      <c r="E320" s="5" t="s">
        <v>257</v>
      </c>
      <c r="F320" s="6" t="s">
        <v>155</v>
      </c>
      <c r="G320" s="6"/>
      <c r="H320" s="5" t="s">
        <v>835</v>
      </c>
    </row>
    <row r="321" spans="1:8" ht="15.75" x14ac:dyDescent="0.25">
      <c r="A321" s="4">
        <v>63001803</v>
      </c>
      <c r="B321" s="4">
        <v>944473000741</v>
      </c>
      <c r="C321" s="5" t="s">
        <v>1583</v>
      </c>
      <c r="D321" s="6" t="s">
        <v>74</v>
      </c>
      <c r="E321" s="5" t="s">
        <v>221</v>
      </c>
      <c r="F321" s="6" t="s">
        <v>155</v>
      </c>
      <c r="G321" s="6"/>
      <c r="H321" s="5" t="s">
        <v>836</v>
      </c>
    </row>
    <row r="322" spans="1:8" ht="15.75" x14ac:dyDescent="0.25">
      <c r="A322" s="4">
        <v>63001805</v>
      </c>
      <c r="B322" s="4">
        <v>920646005247</v>
      </c>
      <c r="C322" s="5" t="s">
        <v>1584</v>
      </c>
      <c r="D322" s="6" t="s">
        <v>74</v>
      </c>
      <c r="E322" s="5" t="s">
        <v>257</v>
      </c>
      <c r="F322" s="6" t="s">
        <v>155</v>
      </c>
      <c r="G322" s="6"/>
      <c r="H322" s="5" t="s">
        <v>837</v>
      </c>
    </row>
    <row r="323" spans="1:8" ht="15.75" x14ac:dyDescent="0.25">
      <c r="A323" s="4">
        <v>63001809</v>
      </c>
      <c r="B323" s="4">
        <v>707527000253</v>
      </c>
      <c r="C323" s="5" t="s">
        <v>1585</v>
      </c>
      <c r="D323" s="6" t="s">
        <v>74</v>
      </c>
      <c r="E323" s="5" t="s">
        <v>507</v>
      </c>
      <c r="F323" s="6" t="s">
        <v>161</v>
      </c>
      <c r="G323" s="6"/>
      <c r="H323" s="5" t="s">
        <v>838</v>
      </c>
    </row>
    <row r="324" spans="1:8" ht="15.75" x14ac:dyDescent="0.25">
      <c r="A324" s="4">
        <v>63001822</v>
      </c>
      <c r="B324" s="4">
        <v>721066000459</v>
      </c>
      <c r="C324" s="5" t="s">
        <v>1586</v>
      </c>
      <c r="D324" s="6" t="s">
        <v>74</v>
      </c>
      <c r="E324" s="5" t="s">
        <v>281</v>
      </c>
      <c r="F324" s="6" t="s">
        <v>161</v>
      </c>
      <c r="G324" s="6"/>
      <c r="H324" s="5" t="s">
        <v>839</v>
      </c>
    </row>
    <row r="325" spans="1:8" ht="15.75" x14ac:dyDescent="0.25">
      <c r="A325" s="4">
        <v>63001823</v>
      </c>
      <c r="B325" s="4">
        <v>923199001538</v>
      </c>
      <c r="C325" s="5" t="s">
        <v>87</v>
      </c>
      <c r="D325" s="6" t="s">
        <v>74</v>
      </c>
      <c r="E325" s="5" t="s">
        <v>225</v>
      </c>
      <c r="F325" s="6" t="s">
        <v>155</v>
      </c>
      <c r="G325" s="6">
        <f>_xlfn.XLOOKUP(DATA_TABLE[[#This Row],[Matricule]],GLOBAL!$B$2:$B$351,GLOBAL!$F$2:$F$351,"not found")</f>
        <v>20</v>
      </c>
      <c r="H325" s="5" t="s">
        <v>224</v>
      </c>
    </row>
    <row r="326" spans="1:8" ht="15.75" x14ac:dyDescent="0.25">
      <c r="A326" s="4">
        <v>63001824</v>
      </c>
      <c r="B326" s="4">
        <v>692423000855</v>
      </c>
      <c r="C326" s="5" t="s">
        <v>1587</v>
      </c>
      <c r="D326" s="6" t="s">
        <v>74</v>
      </c>
      <c r="E326" s="5" t="s">
        <v>491</v>
      </c>
      <c r="F326" s="6" t="s">
        <v>161</v>
      </c>
      <c r="G326" s="6"/>
      <c r="H326" s="5" t="s">
        <v>840</v>
      </c>
    </row>
    <row r="327" spans="1:8" ht="15.75" x14ac:dyDescent="0.25">
      <c r="A327" s="4">
        <v>63001838</v>
      </c>
      <c r="B327" s="4">
        <v>630443001463</v>
      </c>
      <c r="C327" s="5" t="s">
        <v>1588</v>
      </c>
      <c r="D327" s="6" t="s">
        <v>74</v>
      </c>
      <c r="E327" s="9" t="s">
        <v>541</v>
      </c>
      <c r="F327" s="10" t="s">
        <v>541</v>
      </c>
      <c r="G327" s="6"/>
      <c r="H327" s="5" t="s">
        <v>841</v>
      </c>
    </row>
    <row r="328" spans="1:8" ht="15.75" x14ac:dyDescent="0.25">
      <c r="A328" s="4">
        <v>63001842</v>
      </c>
      <c r="B328" s="4">
        <v>734020000268</v>
      </c>
      <c r="C328" s="5" t="s">
        <v>1589</v>
      </c>
      <c r="D328" s="6" t="s">
        <v>74</v>
      </c>
      <c r="E328" s="5" t="s">
        <v>489</v>
      </c>
      <c r="F328" s="6" t="s">
        <v>161</v>
      </c>
      <c r="G328" s="6"/>
      <c r="H328" s="5" t="s">
        <v>842</v>
      </c>
    </row>
    <row r="329" spans="1:8" ht="15.75" x14ac:dyDescent="0.25">
      <c r="A329" s="4">
        <v>63001850</v>
      </c>
      <c r="B329" s="4">
        <v>735656000644</v>
      </c>
      <c r="C329" s="5" t="s">
        <v>1590</v>
      </c>
      <c r="D329" s="6" t="s">
        <v>74</v>
      </c>
      <c r="E329" s="5" t="s">
        <v>506</v>
      </c>
      <c r="F329" s="6" t="s">
        <v>161</v>
      </c>
      <c r="G329" s="6"/>
      <c r="H329" s="5" t="s">
        <v>843</v>
      </c>
    </row>
    <row r="330" spans="1:8" ht="15.75" x14ac:dyDescent="0.25">
      <c r="A330" s="4">
        <v>63001854</v>
      </c>
      <c r="B330" s="4">
        <v>708755000344</v>
      </c>
      <c r="C330" s="5" t="s">
        <v>1591</v>
      </c>
      <c r="D330" s="6" t="s">
        <v>74</v>
      </c>
      <c r="E330" s="5" t="s">
        <v>281</v>
      </c>
      <c r="F330" s="6" t="s">
        <v>161</v>
      </c>
      <c r="G330" s="6"/>
      <c r="H330" s="5" t="s">
        <v>280</v>
      </c>
    </row>
    <row r="331" spans="1:8" ht="15.75" x14ac:dyDescent="0.25">
      <c r="A331" s="4">
        <v>63001856</v>
      </c>
      <c r="B331" s="4">
        <v>730354003851</v>
      </c>
      <c r="C331" s="5" t="s">
        <v>1592</v>
      </c>
      <c r="D331" s="6" t="s">
        <v>74</v>
      </c>
      <c r="E331" s="5" t="s">
        <v>481</v>
      </c>
      <c r="F331" s="6" t="s">
        <v>161</v>
      </c>
      <c r="G331" s="6"/>
      <c r="H331" s="5" t="s">
        <v>844</v>
      </c>
    </row>
    <row r="332" spans="1:8" ht="15.75" x14ac:dyDescent="0.25">
      <c r="A332" s="4">
        <v>63001859</v>
      </c>
      <c r="B332" s="4">
        <v>707515000158</v>
      </c>
      <c r="C332" s="5" t="s">
        <v>1593</v>
      </c>
      <c r="D332" s="6" t="s">
        <v>74</v>
      </c>
      <c r="E332" s="5" t="s">
        <v>293</v>
      </c>
      <c r="F332" s="6" t="s">
        <v>161</v>
      </c>
      <c r="G332" s="6"/>
      <c r="H332" s="5" t="s">
        <v>845</v>
      </c>
    </row>
    <row r="333" spans="1:8" ht="15.75" x14ac:dyDescent="0.25">
      <c r="A333" s="4">
        <v>63001860</v>
      </c>
      <c r="B333" s="4">
        <v>722502001268</v>
      </c>
      <c r="C333" s="5" t="s">
        <v>1594</v>
      </c>
      <c r="D333" s="6" t="s">
        <v>74</v>
      </c>
      <c r="E333" s="5" t="s">
        <v>334</v>
      </c>
      <c r="F333" s="6" t="s">
        <v>161</v>
      </c>
      <c r="G333" s="6"/>
      <c r="H333" s="5" t="s">
        <v>333</v>
      </c>
    </row>
    <row r="334" spans="1:8" ht="15.75" x14ac:dyDescent="0.25">
      <c r="A334" s="4">
        <v>63001861</v>
      </c>
      <c r="B334" s="4">
        <v>761276004839</v>
      </c>
      <c r="C334" s="5" t="s">
        <v>1595</v>
      </c>
      <c r="D334" s="6" t="s">
        <v>74</v>
      </c>
      <c r="E334" s="5" t="s">
        <v>281</v>
      </c>
      <c r="F334" s="6" t="s">
        <v>161</v>
      </c>
      <c r="G334" s="6"/>
      <c r="H334" s="5" t="s">
        <v>846</v>
      </c>
    </row>
    <row r="335" spans="1:8" ht="15.75" x14ac:dyDescent="0.25">
      <c r="A335" s="4">
        <v>63001862</v>
      </c>
      <c r="B335" s="4">
        <v>733391000846</v>
      </c>
      <c r="C335" s="5" t="s">
        <v>1596</v>
      </c>
      <c r="D335" s="6" t="s">
        <v>74</v>
      </c>
      <c r="E335" s="5" t="s">
        <v>480</v>
      </c>
      <c r="F335" s="6" t="s">
        <v>161</v>
      </c>
      <c r="G335" s="6"/>
      <c r="H335" s="5" t="s">
        <v>847</v>
      </c>
    </row>
    <row r="336" spans="1:8" ht="15.75" x14ac:dyDescent="0.25">
      <c r="A336" s="4">
        <v>63001864</v>
      </c>
      <c r="B336" s="4">
        <v>735554000152</v>
      </c>
      <c r="C336" s="5" t="s">
        <v>1597</v>
      </c>
      <c r="D336" s="6" t="s">
        <v>74</v>
      </c>
      <c r="E336" s="5" t="s">
        <v>480</v>
      </c>
      <c r="F336" s="6" t="s">
        <v>161</v>
      </c>
      <c r="G336" s="6"/>
      <c r="H336" s="5" t="s">
        <v>848</v>
      </c>
    </row>
    <row r="337" spans="1:8" ht="15.75" x14ac:dyDescent="0.25">
      <c r="A337" s="4">
        <v>63001865</v>
      </c>
      <c r="B337" s="4">
        <v>688011000258</v>
      </c>
      <c r="C337" s="5" t="s">
        <v>1598</v>
      </c>
      <c r="D337" s="6" t="s">
        <v>74</v>
      </c>
      <c r="E337" s="5" t="s">
        <v>481</v>
      </c>
      <c r="F337" s="6" t="s">
        <v>161</v>
      </c>
      <c r="G337" s="6"/>
      <c r="H337" s="5" t="s">
        <v>849</v>
      </c>
    </row>
    <row r="338" spans="1:8" ht="15.75" x14ac:dyDescent="0.25">
      <c r="A338" s="4">
        <v>63001891</v>
      </c>
      <c r="B338" s="4">
        <v>730757002747</v>
      </c>
      <c r="C338" s="5" t="s">
        <v>1599</v>
      </c>
      <c r="D338" s="6" t="s">
        <v>74</v>
      </c>
      <c r="E338" s="5" t="s">
        <v>501</v>
      </c>
      <c r="F338" s="6" t="s">
        <v>161</v>
      </c>
      <c r="G338" s="6"/>
      <c r="H338" s="5" t="s">
        <v>850</v>
      </c>
    </row>
    <row r="339" spans="1:8" ht="15.75" x14ac:dyDescent="0.25">
      <c r="A339" s="4">
        <v>63001892</v>
      </c>
      <c r="B339" s="4">
        <v>683203000167</v>
      </c>
      <c r="C339" s="5" t="s">
        <v>1600</v>
      </c>
      <c r="D339" s="6" t="s">
        <v>74</v>
      </c>
      <c r="E339" s="5" t="s">
        <v>480</v>
      </c>
      <c r="F339" s="6" t="s">
        <v>161</v>
      </c>
      <c r="G339" s="6"/>
      <c r="H339" s="5" t="s">
        <v>851</v>
      </c>
    </row>
    <row r="340" spans="1:8" ht="15.75" x14ac:dyDescent="0.25">
      <c r="A340" s="4">
        <v>63001893</v>
      </c>
      <c r="B340" s="4">
        <v>756249000148</v>
      </c>
      <c r="C340" s="5" t="s">
        <v>1601</v>
      </c>
      <c r="D340" s="6" t="s">
        <v>74</v>
      </c>
      <c r="E340" s="5" t="s">
        <v>495</v>
      </c>
      <c r="F340" s="6" t="s">
        <v>161</v>
      </c>
      <c r="G340" s="6"/>
      <c r="H340" s="5" t="s">
        <v>852</v>
      </c>
    </row>
    <row r="341" spans="1:8" ht="15.75" x14ac:dyDescent="0.25">
      <c r="A341" s="4">
        <v>63001894</v>
      </c>
      <c r="B341" s="4">
        <v>770248005149</v>
      </c>
      <c r="C341" s="5" t="s">
        <v>1602</v>
      </c>
      <c r="D341" s="6" t="s">
        <v>74</v>
      </c>
      <c r="E341" s="5" t="s">
        <v>480</v>
      </c>
      <c r="F341" s="6" t="s">
        <v>161</v>
      </c>
      <c r="G341" s="6"/>
      <c r="H341" s="5" t="s">
        <v>853</v>
      </c>
    </row>
    <row r="342" spans="1:8" ht="15.75" x14ac:dyDescent="0.25">
      <c r="A342" s="4">
        <v>63001896</v>
      </c>
      <c r="B342" s="4">
        <v>730240008452</v>
      </c>
      <c r="C342" s="5" t="s">
        <v>1603</v>
      </c>
      <c r="D342" s="6" t="s">
        <v>74</v>
      </c>
      <c r="E342" s="5" t="s">
        <v>501</v>
      </c>
      <c r="F342" s="6" t="s">
        <v>161</v>
      </c>
      <c r="G342" s="6"/>
      <c r="H342" s="5" t="s">
        <v>854</v>
      </c>
    </row>
    <row r="343" spans="1:8" ht="15.75" x14ac:dyDescent="0.25">
      <c r="A343" s="4">
        <v>63001897</v>
      </c>
      <c r="B343" s="4">
        <v>728022000160</v>
      </c>
      <c r="C343" s="5" t="s">
        <v>1604</v>
      </c>
      <c r="D343" s="6" t="s">
        <v>74</v>
      </c>
      <c r="E343" s="5" t="s">
        <v>480</v>
      </c>
      <c r="F343" s="6" t="s">
        <v>161</v>
      </c>
      <c r="G343" s="6"/>
      <c r="H343" s="5" t="s">
        <v>855</v>
      </c>
    </row>
    <row r="344" spans="1:8" ht="15.75" x14ac:dyDescent="0.25">
      <c r="A344" s="4">
        <v>63001898</v>
      </c>
      <c r="B344" s="4">
        <v>727630000354</v>
      </c>
      <c r="C344" s="5" t="s">
        <v>1605</v>
      </c>
      <c r="D344" s="6" t="s">
        <v>74</v>
      </c>
      <c r="E344" s="5" t="s">
        <v>482</v>
      </c>
      <c r="F344" s="6" t="s">
        <v>161</v>
      </c>
      <c r="G344" s="6"/>
      <c r="H344" s="5" t="s">
        <v>856</v>
      </c>
    </row>
    <row r="345" spans="1:8" ht="15.75" x14ac:dyDescent="0.25">
      <c r="A345" s="4">
        <v>63001900</v>
      </c>
      <c r="B345" s="4">
        <v>753482000943</v>
      </c>
      <c r="C345" s="5" t="s">
        <v>1606</v>
      </c>
      <c r="D345" s="6" t="s">
        <v>74</v>
      </c>
      <c r="E345" s="5" t="s">
        <v>477</v>
      </c>
      <c r="F345" s="6" t="s">
        <v>161</v>
      </c>
      <c r="G345" s="6"/>
      <c r="H345" s="5" t="s">
        <v>857</v>
      </c>
    </row>
    <row r="346" spans="1:8" ht="15.75" x14ac:dyDescent="0.25">
      <c r="A346" s="4">
        <v>63001902</v>
      </c>
      <c r="B346" s="4">
        <v>741056001358</v>
      </c>
      <c r="C346" s="5" t="s">
        <v>1607</v>
      </c>
      <c r="D346" s="6" t="s">
        <v>74</v>
      </c>
      <c r="E346" s="5" t="s">
        <v>480</v>
      </c>
      <c r="F346" s="6" t="s">
        <v>161</v>
      </c>
      <c r="G346" s="6"/>
      <c r="H346" s="5" t="s">
        <v>858</v>
      </c>
    </row>
    <row r="347" spans="1:8" ht="15.75" x14ac:dyDescent="0.25">
      <c r="A347" s="4">
        <v>63001913</v>
      </c>
      <c r="B347" s="4">
        <v>790227016941</v>
      </c>
      <c r="C347" s="5" t="s">
        <v>1608</v>
      </c>
      <c r="D347" s="6" t="s">
        <v>74</v>
      </c>
      <c r="E347" s="5" t="s">
        <v>293</v>
      </c>
      <c r="F347" s="6" t="s">
        <v>161</v>
      </c>
      <c r="G347" s="6"/>
      <c r="H347" s="5" t="s">
        <v>859</v>
      </c>
    </row>
    <row r="348" spans="1:8" ht="15.75" x14ac:dyDescent="0.25">
      <c r="A348" s="4">
        <v>63001919</v>
      </c>
      <c r="B348" s="4">
        <v>802786002145</v>
      </c>
      <c r="C348" s="5" t="s">
        <v>1609</v>
      </c>
      <c r="D348" s="6" t="s">
        <v>74</v>
      </c>
      <c r="E348" s="5" t="s">
        <v>484</v>
      </c>
      <c r="F348" s="6" t="s">
        <v>161</v>
      </c>
      <c r="G348" s="6"/>
      <c r="H348" s="5" t="s">
        <v>860</v>
      </c>
    </row>
    <row r="349" spans="1:8" ht="15.75" x14ac:dyDescent="0.25">
      <c r="A349" s="4">
        <v>63001922</v>
      </c>
      <c r="B349" s="4">
        <v>736771000246</v>
      </c>
      <c r="C349" s="5" t="s">
        <v>1610</v>
      </c>
      <c r="D349" s="6" t="s">
        <v>74</v>
      </c>
      <c r="E349" s="5" t="s">
        <v>482</v>
      </c>
      <c r="F349" s="6" t="s">
        <v>161</v>
      </c>
      <c r="G349" s="6"/>
      <c r="H349" s="5" t="s">
        <v>861</v>
      </c>
    </row>
    <row r="350" spans="1:8" ht="15.75" x14ac:dyDescent="0.25">
      <c r="A350" s="4">
        <v>63001923</v>
      </c>
      <c r="B350" s="4">
        <v>771047005348</v>
      </c>
      <c r="C350" s="5" t="s">
        <v>1611</v>
      </c>
      <c r="D350" s="6" t="s">
        <v>74</v>
      </c>
      <c r="E350" s="5" t="s">
        <v>293</v>
      </c>
      <c r="F350" s="6" t="s">
        <v>161</v>
      </c>
      <c r="G350" s="6"/>
      <c r="H350" s="5" t="s">
        <v>862</v>
      </c>
    </row>
    <row r="351" spans="1:8" ht="15.75" x14ac:dyDescent="0.25">
      <c r="A351" s="4">
        <v>63001926</v>
      </c>
      <c r="B351" s="4">
        <v>807812000255</v>
      </c>
      <c r="C351" s="5" t="s">
        <v>1612</v>
      </c>
      <c r="D351" s="6" t="s">
        <v>74</v>
      </c>
      <c r="E351" s="5" t="s">
        <v>421</v>
      </c>
      <c r="F351" s="6" t="s">
        <v>161</v>
      </c>
      <c r="G351" s="6"/>
      <c r="H351" s="5" t="s">
        <v>863</v>
      </c>
    </row>
    <row r="352" spans="1:8" ht="15.75" x14ac:dyDescent="0.25">
      <c r="A352" s="4">
        <v>63001928</v>
      </c>
      <c r="B352" s="4">
        <v>790431006053</v>
      </c>
      <c r="C352" s="5" t="s">
        <v>1613</v>
      </c>
      <c r="D352" s="6" t="s">
        <v>74</v>
      </c>
      <c r="E352" s="5" t="s">
        <v>486</v>
      </c>
      <c r="F352" s="6" t="s">
        <v>161</v>
      </c>
      <c r="G352" s="6"/>
      <c r="H352" s="5" t="s">
        <v>864</v>
      </c>
    </row>
    <row r="353" spans="1:8" ht="15.75" x14ac:dyDescent="0.25">
      <c r="A353" s="4">
        <v>63001936</v>
      </c>
      <c r="B353" s="4">
        <v>730093013351</v>
      </c>
      <c r="C353" s="5" t="s">
        <v>1614</v>
      </c>
      <c r="D353" s="6" t="s">
        <v>74</v>
      </c>
      <c r="E353" s="5" t="s">
        <v>293</v>
      </c>
      <c r="F353" s="6" t="s">
        <v>161</v>
      </c>
      <c r="G353" s="6"/>
      <c r="H353" s="5" t="s">
        <v>865</v>
      </c>
    </row>
    <row r="354" spans="1:8" ht="15.75" x14ac:dyDescent="0.25">
      <c r="A354" s="4">
        <v>63001941</v>
      </c>
      <c r="B354" s="4">
        <v>801818003156</v>
      </c>
      <c r="C354" s="5" t="s">
        <v>1615</v>
      </c>
      <c r="D354" s="6" t="s">
        <v>74</v>
      </c>
      <c r="E354" s="9" t="s">
        <v>541</v>
      </c>
      <c r="F354" s="10" t="s">
        <v>541</v>
      </c>
      <c r="G354" s="6"/>
      <c r="H354" s="5" t="s">
        <v>866</v>
      </c>
    </row>
    <row r="355" spans="1:8" ht="15.75" x14ac:dyDescent="0.25">
      <c r="A355" s="4">
        <v>63001944</v>
      </c>
      <c r="B355" s="4">
        <v>778229000146</v>
      </c>
      <c r="C355" s="5" t="s">
        <v>1616</v>
      </c>
      <c r="D355" s="6" t="s">
        <v>74</v>
      </c>
      <c r="E355" s="5" t="s">
        <v>490</v>
      </c>
      <c r="F355" s="6" t="s">
        <v>161</v>
      </c>
      <c r="G355" s="6"/>
      <c r="H355" s="5" t="s">
        <v>867</v>
      </c>
    </row>
    <row r="356" spans="1:8" ht="15.75" x14ac:dyDescent="0.25">
      <c r="A356" s="4">
        <v>63001950</v>
      </c>
      <c r="B356" s="4">
        <v>705680000152</v>
      </c>
      <c r="C356" s="5" t="s">
        <v>1617</v>
      </c>
      <c r="D356" s="6" t="s">
        <v>74</v>
      </c>
      <c r="E356" s="5" t="s">
        <v>361</v>
      </c>
      <c r="F356" s="6" t="s">
        <v>161</v>
      </c>
      <c r="G356" s="6"/>
      <c r="H356" s="5" t="s">
        <v>868</v>
      </c>
    </row>
    <row r="357" spans="1:8" ht="15.75" x14ac:dyDescent="0.25">
      <c r="A357" s="4">
        <v>63001951</v>
      </c>
      <c r="B357" s="4">
        <v>740207020268</v>
      </c>
      <c r="C357" s="5" t="s">
        <v>1618</v>
      </c>
      <c r="D357" s="6" t="s">
        <v>74</v>
      </c>
      <c r="E357" s="5" t="s">
        <v>499</v>
      </c>
      <c r="F357" s="6" t="s">
        <v>161</v>
      </c>
      <c r="G357" s="6"/>
      <c r="H357" s="5" t="s">
        <v>869</v>
      </c>
    </row>
    <row r="358" spans="1:8" ht="15.75" x14ac:dyDescent="0.25">
      <c r="A358" s="4">
        <v>63001973</v>
      </c>
      <c r="B358" s="4">
        <v>862807002945</v>
      </c>
      <c r="C358" s="5" t="s">
        <v>88</v>
      </c>
      <c r="D358" s="6" t="s">
        <v>74</v>
      </c>
      <c r="E358" s="5" t="s">
        <v>247</v>
      </c>
      <c r="F358" s="6" t="s">
        <v>155</v>
      </c>
      <c r="G358" s="6"/>
      <c r="H358" s="5" t="s">
        <v>304</v>
      </c>
    </row>
    <row r="359" spans="1:8" ht="15.75" x14ac:dyDescent="0.25">
      <c r="A359" s="4">
        <v>63004777</v>
      </c>
      <c r="B359" s="4">
        <v>991660001644</v>
      </c>
      <c r="C359" s="5" t="s">
        <v>1619</v>
      </c>
      <c r="D359" s="6" t="s">
        <v>74</v>
      </c>
      <c r="E359" s="5" t="s">
        <v>154</v>
      </c>
      <c r="F359" s="6" t="s">
        <v>155</v>
      </c>
      <c r="G359" s="6"/>
      <c r="H359" s="5" t="s">
        <v>870</v>
      </c>
    </row>
    <row r="360" spans="1:8" ht="15.75" x14ac:dyDescent="0.25">
      <c r="A360" s="4">
        <v>63004780</v>
      </c>
      <c r="B360" s="4">
        <v>2427001078</v>
      </c>
      <c r="C360" s="5" t="s">
        <v>1620</v>
      </c>
      <c r="D360" s="6" t="s">
        <v>74</v>
      </c>
      <c r="E360" s="5" t="s">
        <v>154</v>
      </c>
      <c r="F360" s="6" t="s">
        <v>155</v>
      </c>
      <c r="G360" s="6"/>
      <c r="H360" s="5" t="s">
        <v>871</v>
      </c>
    </row>
    <row r="361" spans="1:8" ht="15.75" x14ac:dyDescent="0.25">
      <c r="A361" s="4">
        <v>63004795</v>
      </c>
      <c r="B361" s="4">
        <v>891986000932</v>
      </c>
      <c r="C361" s="5" t="s">
        <v>1621</v>
      </c>
      <c r="D361" s="6" t="s">
        <v>74</v>
      </c>
      <c r="E361" s="5" t="s">
        <v>497</v>
      </c>
      <c r="F361" s="6" t="s">
        <v>231</v>
      </c>
      <c r="G361" s="6"/>
      <c r="H361" s="5" t="s">
        <v>872</v>
      </c>
    </row>
    <row r="362" spans="1:8" ht="15.75" x14ac:dyDescent="0.25">
      <c r="A362" s="4">
        <v>63004796</v>
      </c>
      <c r="B362" s="4">
        <v>906540000254</v>
      </c>
      <c r="C362" s="5" t="s">
        <v>1622</v>
      </c>
      <c r="D362" s="6" t="s">
        <v>74</v>
      </c>
      <c r="E362" s="5" t="s">
        <v>497</v>
      </c>
      <c r="F362" s="6" t="s">
        <v>231</v>
      </c>
      <c r="G362" s="6"/>
      <c r="H362" s="5" t="s">
        <v>873</v>
      </c>
    </row>
    <row r="363" spans="1:8" ht="15.75" x14ac:dyDescent="0.25">
      <c r="A363" s="4">
        <v>63004800</v>
      </c>
      <c r="B363" s="4">
        <v>981386006628</v>
      </c>
      <c r="C363" s="5" t="s">
        <v>1623</v>
      </c>
      <c r="D363" s="6" t="s">
        <v>74</v>
      </c>
      <c r="E363" s="5" t="s">
        <v>154</v>
      </c>
      <c r="F363" s="6" t="s">
        <v>155</v>
      </c>
      <c r="G363" s="6"/>
      <c r="H363" s="5" t="s">
        <v>874</v>
      </c>
    </row>
    <row r="364" spans="1:8" ht="15.75" x14ac:dyDescent="0.25">
      <c r="A364" s="4">
        <v>63004960</v>
      </c>
      <c r="B364" s="4">
        <v>830235023554</v>
      </c>
      <c r="C364" s="5" t="s">
        <v>1624</v>
      </c>
      <c r="D364" s="6" t="s">
        <v>74</v>
      </c>
      <c r="E364" s="5" t="s">
        <v>499</v>
      </c>
      <c r="F364" s="6" t="s">
        <v>161</v>
      </c>
      <c r="G364" s="6"/>
      <c r="H364" s="5" t="s">
        <v>875</v>
      </c>
    </row>
    <row r="365" spans="1:8" ht="15.75" x14ac:dyDescent="0.25">
      <c r="A365" s="4">
        <v>63008401</v>
      </c>
      <c r="B365" s="4">
        <v>732126002954</v>
      </c>
      <c r="C365" s="5" t="s">
        <v>1625</v>
      </c>
      <c r="D365" s="6" t="s">
        <v>74</v>
      </c>
      <c r="E365" s="9" t="s">
        <v>541</v>
      </c>
      <c r="F365" s="10" t="s">
        <v>541</v>
      </c>
      <c r="G365" s="6"/>
      <c r="H365" s="5" t="s">
        <v>876</v>
      </c>
    </row>
    <row r="366" spans="1:8" ht="15.75" x14ac:dyDescent="0.25">
      <c r="A366" s="4">
        <v>63010935</v>
      </c>
      <c r="B366" s="4">
        <v>19196000253</v>
      </c>
      <c r="C366" s="5" t="s">
        <v>1626</v>
      </c>
      <c r="D366" s="6" t="s">
        <v>74</v>
      </c>
      <c r="E366" s="5" t="s">
        <v>247</v>
      </c>
      <c r="F366" s="6" t="s">
        <v>155</v>
      </c>
      <c r="G366" s="6"/>
      <c r="H366" s="5" t="s">
        <v>877</v>
      </c>
    </row>
    <row r="367" spans="1:8" ht="15.75" x14ac:dyDescent="0.25">
      <c r="A367" s="4">
        <v>63010972</v>
      </c>
      <c r="B367" s="4">
        <v>910444011556</v>
      </c>
      <c r="C367" s="5" t="s">
        <v>1627</v>
      </c>
      <c r="D367" s="6" t="s">
        <v>74</v>
      </c>
      <c r="E367" s="5" t="s">
        <v>247</v>
      </c>
      <c r="F367" s="6" t="s">
        <v>155</v>
      </c>
      <c r="G367" s="6"/>
      <c r="H367" s="5" t="s">
        <v>878</v>
      </c>
    </row>
    <row r="368" spans="1:8" ht="15.75" x14ac:dyDescent="0.25">
      <c r="A368" s="4">
        <v>63010980</v>
      </c>
      <c r="B368" s="4">
        <v>985902000646</v>
      </c>
      <c r="C368" s="5" t="s">
        <v>1628</v>
      </c>
      <c r="D368" s="6" t="s">
        <v>74</v>
      </c>
      <c r="E368" s="5" t="s">
        <v>503</v>
      </c>
      <c r="F368" s="6" t="s">
        <v>155</v>
      </c>
      <c r="G368" s="6"/>
      <c r="H368" s="5" t="s">
        <v>879</v>
      </c>
    </row>
    <row r="369" spans="1:8" ht="15.75" x14ac:dyDescent="0.25">
      <c r="A369" s="4">
        <v>63010990</v>
      </c>
      <c r="B369" s="4">
        <v>22671003660</v>
      </c>
      <c r="C369" s="5" t="s">
        <v>1629</v>
      </c>
      <c r="D369" s="6" t="s">
        <v>74</v>
      </c>
      <c r="E369" s="5" t="s">
        <v>247</v>
      </c>
      <c r="F369" s="6" t="s">
        <v>155</v>
      </c>
      <c r="G369" s="6">
        <f>_xlfn.XLOOKUP(DATA_TABLE[[#This Row],[Matricule]],GLOBAL!$B$2:$B$351,GLOBAL!$F$2:$F$351,"not found")</f>
        <v>20</v>
      </c>
      <c r="H369" s="5" t="s">
        <v>255</v>
      </c>
    </row>
    <row r="370" spans="1:8" ht="15.75" x14ac:dyDescent="0.25">
      <c r="A370" s="4">
        <v>63010992</v>
      </c>
      <c r="B370" s="4">
        <v>990319012746</v>
      </c>
      <c r="C370" s="5" t="s">
        <v>1630</v>
      </c>
      <c r="D370" s="6" t="s">
        <v>74</v>
      </c>
      <c r="E370" s="5" t="s">
        <v>154</v>
      </c>
      <c r="F370" s="6" t="s">
        <v>155</v>
      </c>
      <c r="G370" s="6"/>
      <c r="H370" s="5" t="s">
        <v>880</v>
      </c>
    </row>
    <row r="371" spans="1:8" ht="15.75" x14ac:dyDescent="0.25">
      <c r="A371" s="4">
        <v>63011123</v>
      </c>
      <c r="B371" s="4">
        <v>970041024055</v>
      </c>
      <c r="C371" s="5" t="s">
        <v>1631</v>
      </c>
      <c r="D371" s="6" t="s">
        <v>74</v>
      </c>
      <c r="E371" s="5" t="s">
        <v>247</v>
      </c>
      <c r="F371" s="6" t="s">
        <v>155</v>
      </c>
      <c r="G371" s="6"/>
      <c r="H371" s="5" t="s">
        <v>881</v>
      </c>
    </row>
    <row r="372" spans="1:8" ht="15.75" x14ac:dyDescent="0.25">
      <c r="A372" s="4">
        <v>63019930</v>
      </c>
      <c r="B372" s="4">
        <v>915985000931</v>
      </c>
      <c r="C372" s="5" t="s">
        <v>1632</v>
      </c>
      <c r="D372" s="6" t="s">
        <v>74</v>
      </c>
      <c r="E372" s="5" t="s">
        <v>505</v>
      </c>
      <c r="F372" s="6" t="s">
        <v>161</v>
      </c>
      <c r="G372" s="6"/>
      <c r="H372" s="5" t="s">
        <v>882</v>
      </c>
    </row>
    <row r="373" spans="1:8" ht="15.75" x14ac:dyDescent="0.25">
      <c r="A373" s="4">
        <v>63036911</v>
      </c>
      <c r="B373" s="4">
        <v>970313004256</v>
      </c>
      <c r="C373" s="5" t="s">
        <v>1633</v>
      </c>
      <c r="D373" s="6" t="s">
        <v>74</v>
      </c>
      <c r="E373" s="5" t="s">
        <v>301</v>
      </c>
      <c r="F373" s="6" t="s">
        <v>161</v>
      </c>
      <c r="G373" s="6"/>
      <c r="H373" s="5" t="s">
        <v>300</v>
      </c>
    </row>
    <row r="374" spans="1:8" ht="15.75" x14ac:dyDescent="0.25">
      <c r="A374" s="4">
        <v>63036913</v>
      </c>
      <c r="B374" s="4">
        <v>30643006760</v>
      </c>
      <c r="C374" s="5" t="s">
        <v>1634</v>
      </c>
      <c r="D374" s="6" t="s">
        <v>74</v>
      </c>
      <c r="E374" s="5" t="s">
        <v>247</v>
      </c>
      <c r="F374" s="6" t="s">
        <v>155</v>
      </c>
      <c r="G374" s="6"/>
      <c r="H374" s="5" t="s">
        <v>883</v>
      </c>
    </row>
    <row r="375" spans="1:8" ht="15.75" x14ac:dyDescent="0.25">
      <c r="A375" s="4">
        <v>63036915</v>
      </c>
      <c r="B375" s="4">
        <v>277010768</v>
      </c>
      <c r="C375" s="5" t="s">
        <v>1635</v>
      </c>
      <c r="D375" s="6" t="s">
        <v>74</v>
      </c>
      <c r="E375" s="5" t="s">
        <v>301</v>
      </c>
      <c r="F375" s="6" t="s">
        <v>161</v>
      </c>
      <c r="G375" s="6">
        <f>_xlfn.XLOOKUP(DATA_TABLE[[#This Row],[Matricule]],GLOBAL!$B$2:$B$351,GLOBAL!$F$2:$F$351,"not found")</f>
        <v>21</v>
      </c>
      <c r="H375" s="5" t="s">
        <v>382</v>
      </c>
    </row>
    <row r="376" spans="1:8" ht="15.75" x14ac:dyDescent="0.25">
      <c r="A376" s="4">
        <v>63036925</v>
      </c>
      <c r="B376" s="4">
        <v>30065039751</v>
      </c>
      <c r="C376" s="5" t="s">
        <v>2069</v>
      </c>
      <c r="D376" s="6" t="s">
        <v>74</v>
      </c>
      <c r="E376" s="5" t="s">
        <v>154</v>
      </c>
      <c r="F376" s="6" t="s">
        <v>155</v>
      </c>
      <c r="G376" s="6"/>
      <c r="H376" s="5" t="s">
        <v>559</v>
      </c>
    </row>
    <row r="377" spans="1:8" ht="15.75" x14ac:dyDescent="0.25">
      <c r="A377" s="4">
        <v>63036926</v>
      </c>
      <c r="B377" s="4">
        <v>12800002181</v>
      </c>
      <c r="C377" s="5" t="s">
        <v>1636</v>
      </c>
      <c r="D377" s="6" t="s">
        <v>74</v>
      </c>
      <c r="E377" s="5" t="s">
        <v>164</v>
      </c>
      <c r="F377" s="6" t="s">
        <v>161</v>
      </c>
      <c r="G377" s="6"/>
      <c r="H377" s="5" t="s">
        <v>884</v>
      </c>
    </row>
    <row r="378" spans="1:8" ht="15.75" x14ac:dyDescent="0.25">
      <c r="A378" s="4">
        <v>63036934</v>
      </c>
      <c r="B378" s="4">
        <v>17901000173</v>
      </c>
      <c r="C378" s="5" t="s">
        <v>2070</v>
      </c>
      <c r="D378" s="6" t="s">
        <v>74</v>
      </c>
      <c r="E378" s="5" t="s">
        <v>344</v>
      </c>
      <c r="F378" s="6" t="s">
        <v>161</v>
      </c>
      <c r="G378" s="6"/>
      <c r="H378" s="5" t="s">
        <v>560</v>
      </c>
    </row>
    <row r="379" spans="1:8" ht="15.75" x14ac:dyDescent="0.25">
      <c r="A379" s="4">
        <v>63036936</v>
      </c>
      <c r="B379" s="4">
        <v>10154005865</v>
      </c>
      <c r="C379" s="5" t="s">
        <v>1637</v>
      </c>
      <c r="D379" s="6" t="s">
        <v>74</v>
      </c>
      <c r="E379" s="5" t="s">
        <v>336</v>
      </c>
      <c r="F379" s="6" t="s">
        <v>161</v>
      </c>
      <c r="G379" s="6"/>
      <c r="H379" s="5" t="s">
        <v>885</v>
      </c>
    </row>
    <row r="380" spans="1:8" ht="15.75" x14ac:dyDescent="0.25">
      <c r="A380" s="4">
        <v>63036939</v>
      </c>
      <c r="B380" s="4">
        <v>10474014265</v>
      </c>
      <c r="C380" s="5" t="s">
        <v>1638</v>
      </c>
      <c r="D380" s="6" t="s">
        <v>74</v>
      </c>
      <c r="E380" s="5" t="s">
        <v>257</v>
      </c>
      <c r="F380" s="6" t="s">
        <v>155</v>
      </c>
      <c r="G380" s="6"/>
      <c r="H380" s="5" t="s">
        <v>886</v>
      </c>
    </row>
    <row r="381" spans="1:8" ht="15.75" x14ac:dyDescent="0.25">
      <c r="A381" s="4">
        <v>63036942</v>
      </c>
      <c r="B381" s="4">
        <v>23883001953</v>
      </c>
      <c r="C381" s="5" t="s">
        <v>2071</v>
      </c>
      <c r="D381" s="6" t="s">
        <v>74</v>
      </c>
      <c r="E381" s="5" t="s">
        <v>154</v>
      </c>
      <c r="F381" s="6" t="s">
        <v>155</v>
      </c>
      <c r="G381" s="6">
        <f>_xlfn.XLOOKUP(DATA_TABLE[[#This Row],[Matricule]],GLOBAL!$B$2:$B$351,GLOBAL!$F$2:$F$351,"not found")</f>
        <v>17</v>
      </c>
      <c r="H381" s="5" t="s">
        <v>289</v>
      </c>
    </row>
    <row r="382" spans="1:8" ht="15.75" x14ac:dyDescent="0.25">
      <c r="A382" s="4">
        <v>63036945</v>
      </c>
      <c r="B382" s="4">
        <v>856901000353</v>
      </c>
      <c r="C382" s="5" t="s">
        <v>1639</v>
      </c>
      <c r="D382" s="6" t="s">
        <v>74</v>
      </c>
      <c r="E382" s="5" t="s">
        <v>336</v>
      </c>
      <c r="F382" s="6" t="s">
        <v>161</v>
      </c>
      <c r="G382" s="6"/>
      <c r="H382" s="5" t="s">
        <v>887</v>
      </c>
    </row>
    <row r="383" spans="1:8" ht="15.75" x14ac:dyDescent="0.25">
      <c r="A383" s="4">
        <v>63036946</v>
      </c>
      <c r="B383" s="4">
        <v>970366004837</v>
      </c>
      <c r="C383" s="5" t="s">
        <v>1640</v>
      </c>
      <c r="D383" s="6" t="s">
        <v>74</v>
      </c>
      <c r="E383" s="5" t="s">
        <v>257</v>
      </c>
      <c r="F383" s="6" t="s">
        <v>155</v>
      </c>
      <c r="G383" s="6"/>
      <c r="H383" s="5" t="s">
        <v>888</v>
      </c>
    </row>
    <row r="384" spans="1:8" ht="15.75" x14ac:dyDescent="0.25">
      <c r="A384" s="4">
        <v>63036947</v>
      </c>
      <c r="B384" s="4">
        <v>39795000345</v>
      </c>
      <c r="C384" s="5" t="s">
        <v>1641</v>
      </c>
      <c r="D384" s="6" t="s">
        <v>74</v>
      </c>
      <c r="E384" s="5" t="s">
        <v>257</v>
      </c>
      <c r="F384" s="6" t="s">
        <v>155</v>
      </c>
      <c r="G384" s="6"/>
      <c r="H384" s="5" t="s">
        <v>889</v>
      </c>
    </row>
    <row r="385" spans="1:8" ht="15.75" x14ac:dyDescent="0.25">
      <c r="A385" s="4">
        <v>63036949</v>
      </c>
      <c r="B385" s="4">
        <v>964240000948</v>
      </c>
      <c r="C385" s="5" t="s">
        <v>1642</v>
      </c>
      <c r="D385" s="6" t="s">
        <v>74</v>
      </c>
      <c r="E385" s="5" t="s">
        <v>247</v>
      </c>
      <c r="F385" s="6" t="s">
        <v>155</v>
      </c>
      <c r="G385" s="6"/>
      <c r="H385" s="5" t="s">
        <v>890</v>
      </c>
    </row>
    <row r="386" spans="1:8" ht="15.75" x14ac:dyDescent="0.25">
      <c r="A386" s="4">
        <v>63036950</v>
      </c>
      <c r="B386" s="4">
        <v>930077048037</v>
      </c>
      <c r="C386" s="5" t="s">
        <v>1643</v>
      </c>
      <c r="D386" s="6" t="s">
        <v>74</v>
      </c>
      <c r="E386" s="5" t="s">
        <v>247</v>
      </c>
      <c r="F386" s="6" t="s">
        <v>155</v>
      </c>
      <c r="G386" s="6"/>
      <c r="H386" s="5" t="s">
        <v>891</v>
      </c>
    </row>
    <row r="387" spans="1:8" ht="15.75" x14ac:dyDescent="0.25">
      <c r="A387" s="4">
        <v>63036957</v>
      </c>
      <c r="B387" s="4">
        <v>31000011190</v>
      </c>
      <c r="C387" s="5" t="s">
        <v>1644</v>
      </c>
      <c r="D387" s="6" t="s">
        <v>74</v>
      </c>
      <c r="E387" s="5" t="s">
        <v>154</v>
      </c>
      <c r="F387" s="6" t="s">
        <v>155</v>
      </c>
      <c r="G387" s="6"/>
      <c r="H387" s="5" t="s">
        <v>892</v>
      </c>
    </row>
    <row r="388" spans="1:8" ht="15.75" x14ac:dyDescent="0.25">
      <c r="A388" s="4">
        <v>63036968</v>
      </c>
      <c r="B388" s="4">
        <v>11253003669</v>
      </c>
      <c r="C388" s="5" t="s">
        <v>1645</v>
      </c>
      <c r="D388" s="6" t="s">
        <v>74</v>
      </c>
      <c r="E388" s="5" t="s">
        <v>301</v>
      </c>
      <c r="F388" s="6" t="s">
        <v>161</v>
      </c>
      <c r="G388" s="6"/>
      <c r="H388" s="5" t="s">
        <v>893</v>
      </c>
    </row>
    <row r="389" spans="1:8" ht="15.75" x14ac:dyDescent="0.25">
      <c r="A389" s="4">
        <v>63036970</v>
      </c>
      <c r="B389" s="4">
        <v>950195027531</v>
      </c>
      <c r="C389" s="5" t="s">
        <v>1646</v>
      </c>
      <c r="D389" s="6" t="s">
        <v>74</v>
      </c>
      <c r="E389" s="5" t="s">
        <v>301</v>
      </c>
      <c r="F389" s="6" t="s">
        <v>161</v>
      </c>
      <c r="G389" s="6"/>
      <c r="H389" s="5" t="s">
        <v>894</v>
      </c>
    </row>
    <row r="390" spans="1:8" ht="15.75" x14ac:dyDescent="0.25">
      <c r="A390" s="4">
        <v>63036983</v>
      </c>
      <c r="B390" s="4">
        <v>990149010647</v>
      </c>
      <c r="C390" s="5" t="s">
        <v>1647</v>
      </c>
      <c r="D390" s="6" t="s">
        <v>74</v>
      </c>
      <c r="E390" s="5" t="s">
        <v>301</v>
      </c>
      <c r="F390" s="6" t="s">
        <v>161</v>
      </c>
      <c r="G390" s="6"/>
      <c r="H390" s="5" t="s">
        <v>895</v>
      </c>
    </row>
    <row r="391" spans="1:8" ht="15.75" x14ac:dyDescent="0.25">
      <c r="A391" s="4">
        <v>63036989</v>
      </c>
      <c r="B391" s="4">
        <v>32595004452</v>
      </c>
      <c r="C391" s="5" t="s">
        <v>2072</v>
      </c>
      <c r="D391" s="6" t="s">
        <v>74</v>
      </c>
      <c r="E391" s="5" t="s">
        <v>247</v>
      </c>
      <c r="F391" s="6" t="s">
        <v>155</v>
      </c>
      <c r="G391" s="6"/>
      <c r="H391" s="5" t="s">
        <v>561</v>
      </c>
    </row>
    <row r="392" spans="1:8" ht="15.75" x14ac:dyDescent="0.25">
      <c r="A392" s="4">
        <v>63036995</v>
      </c>
      <c r="B392" s="4">
        <v>33638000862</v>
      </c>
      <c r="C392" s="5" t="s">
        <v>2073</v>
      </c>
      <c r="D392" s="6" t="s">
        <v>74</v>
      </c>
      <c r="E392" s="5" t="s">
        <v>247</v>
      </c>
      <c r="F392" s="6" t="s">
        <v>155</v>
      </c>
      <c r="G392" s="6"/>
      <c r="H392" s="5" t="s">
        <v>562</v>
      </c>
    </row>
    <row r="393" spans="1:8" ht="15.75" x14ac:dyDescent="0.25">
      <c r="A393" s="4">
        <v>63036999</v>
      </c>
      <c r="B393" s="4">
        <v>15559001161</v>
      </c>
      <c r="C393" s="5" t="s">
        <v>1648</v>
      </c>
      <c r="D393" s="6" t="s">
        <v>74</v>
      </c>
      <c r="E393" s="5" t="s">
        <v>301</v>
      </c>
      <c r="F393" s="6" t="s">
        <v>161</v>
      </c>
      <c r="G393" s="6"/>
      <c r="H393" s="5" t="s">
        <v>896</v>
      </c>
    </row>
    <row r="394" spans="1:8" ht="15.75" x14ac:dyDescent="0.25">
      <c r="A394" s="4">
        <v>63037008</v>
      </c>
      <c r="B394" s="4">
        <v>990092014340</v>
      </c>
      <c r="C394" s="5" t="s">
        <v>1649</v>
      </c>
      <c r="D394" s="6" t="s">
        <v>74</v>
      </c>
      <c r="E394" s="5" t="s">
        <v>301</v>
      </c>
      <c r="F394" s="6" t="s">
        <v>161</v>
      </c>
      <c r="G394" s="6"/>
      <c r="H394" s="5" t="s">
        <v>897</v>
      </c>
    </row>
    <row r="395" spans="1:8" ht="15.75" x14ac:dyDescent="0.25">
      <c r="A395" s="4">
        <v>63037021</v>
      </c>
      <c r="B395" s="4">
        <v>31396001758</v>
      </c>
      <c r="C395" s="5" t="s">
        <v>2074</v>
      </c>
      <c r="D395" s="6" t="s">
        <v>74</v>
      </c>
      <c r="E395" s="5" t="s">
        <v>247</v>
      </c>
      <c r="F395" s="6" t="s">
        <v>155</v>
      </c>
      <c r="G395" s="6"/>
      <c r="H395" s="5" t="s">
        <v>563</v>
      </c>
    </row>
    <row r="396" spans="1:8" ht="15.75" x14ac:dyDescent="0.25">
      <c r="A396" s="4">
        <v>63037025</v>
      </c>
      <c r="B396" s="4">
        <v>970002088444</v>
      </c>
      <c r="C396" s="5" t="s">
        <v>1650</v>
      </c>
      <c r="D396" s="6" t="s">
        <v>74</v>
      </c>
      <c r="E396" s="5" t="s">
        <v>301</v>
      </c>
      <c r="F396" s="6" t="s">
        <v>161</v>
      </c>
      <c r="G396" s="6"/>
      <c r="H396" s="5" t="s">
        <v>898</v>
      </c>
    </row>
    <row r="397" spans="1:8" ht="15.75" x14ac:dyDescent="0.25">
      <c r="A397" s="4">
        <v>63037030</v>
      </c>
      <c r="B397" s="4">
        <v>32144000970</v>
      </c>
      <c r="C397" s="5" t="s">
        <v>2075</v>
      </c>
      <c r="D397" s="6" t="s">
        <v>74</v>
      </c>
      <c r="E397" s="5" t="s">
        <v>247</v>
      </c>
      <c r="F397" s="6" t="s">
        <v>155</v>
      </c>
      <c r="G397" s="6"/>
      <c r="H397" s="5" t="s">
        <v>564</v>
      </c>
    </row>
    <row r="398" spans="1:8" ht="15.75" x14ac:dyDescent="0.25">
      <c r="A398" s="4">
        <v>63037032</v>
      </c>
      <c r="B398" s="4">
        <v>2496003556</v>
      </c>
      <c r="C398" s="5" t="s">
        <v>1651</v>
      </c>
      <c r="D398" s="6" t="s">
        <v>74</v>
      </c>
      <c r="E398" s="5" t="s">
        <v>247</v>
      </c>
      <c r="F398" s="6" t="s">
        <v>155</v>
      </c>
      <c r="G398" s="6"/>
      <c r="H398" s="5" t="s">
        <v>899</v>
      </c>
    </row>
    <row r="399" spans="1:8" ht="15.75" x14ac:dyDescent="0.25">
      <c r="A399" s="4">
        <v>63037034</v>
      </c>
      <c r="B399" s="4">
        <v>975014000850</v>
      </c>
      <c r="C399" s="5" t="s">
        <v>1652</v>
      </c>
      <c r="D399" s="6" t="s">
        <v>74</v>
      </c>
      <c r="E399" s="5" t="s">
        <v>154</v>
      </c>
      <c r="F399" s="6" t="s">
        <v>155</v>
      </c>
      <c r="G399" s="6"/>
      <c r="H399" s="5" t="s">
        <v>900</v>
      </c>
    </row>
    <row r="400" spans="1:8" ht="15.75" x14ac:dyDescent="0.25">
      <c r="A400" s="4">
        <v>63037035</v>
      </c>
      <c r="B400" s="4">
        <v>920646013052</v>
      </c>
      <c r="C400" s="5" t="s">
        <v>1653</v>
      </c>
      <c r="D400" s="6" t="s">
        <v>74</v>
      </c>
      <c r="E400" s="5" t="s">
        <v>336</v>
      </c>
      <c r="F400" s="6" t="s">
        <v>161</v>
      </c>
      <c r="G400" s="6"/>
      <c r="H400" s="5" t="s">
        <v>901</v>
      </c>
    </row>
    <row r="401" spans="1:8" ht="15.75" x14ac:dyDescent="0.25">
      <c r="A401" s="4">
        <v>63037038</v>
      </c>
      <c r="B401" s="4">
        <v>971778001338</v>
      </c>
      <c r="C401" s="5" t="s">
        <v>1654</v>
      </c>
      <c r="D401" s="6" t="s">
        <v>74</v>
      </c>
      <c r="E401" s="9" t="s">
        <v>541</v>
      </c>
      <c r="F401" s="10" t="s">
        <v>541</v>
      </c>
      <c r="G401" s="6"/>
      <c r="H401" s="5" t="s">
        <v>902</v>
      </c>
    </row>
    <row r="402" spans="1:8" ht="15.75" x14ac:dyDescent="0.25">
      <c r="A402" s="4">
        <v>63037039</v>
      </c>
      <c r="B402" s="4">
        <v>24610002572</v>
      </c>
      <c r="C402" s="5" t="s">
        <v>2076</v>
      </c>
      <c r="D402" s="6" t="s">
        <v>74</v>
      </c>
      <c r="E402" s="5" t="s">
        <v>154</v>
      </c>
      <c r="F402" s="6" t="s">
        <v>155</v>
      </c>
      <c r="G402" s="6"/>
      <c r="H402" s="5" t="s">
        <v>565</v>
      </c>
    </row>
    <row r="403" spans="1:8" ht="15.75" x14ac:dyDescent="0.25">
      <c r="A403" s="4">
        <v>63037044</v>
      </c>
      <c r="B403" s="4">
        <v>13392003756</v>
      </c>
      <c r="C403" s="5" t="s">
        <v>1655</v>
      </c>
      <c r="D403" s="6" t="s">
        <v>74</v>
      </c>
      <c r="E403" s="5" t="s">
        <v>247</v>
      </c>
      <c r="F403" s="6" t="s">
        <v>155</v>
      </c>
      <c r="G403" s="6"/>
      <c r="H403" s="5" t="s">
        <v>903</v>
      </c>
    </row>
    <row r="404" spans="1:8" ht="15.75" x14ac:dyDescent="0.25">
      <c r="A404" s="4">
        <v>63043415</v>
      </c>
      <c r="B404" s="4">
        <v>940369012048</v>
      </c>
      <c r="C404" s="5" t="s">
        <v>1656</v>
      </c>
      <c r="D404" s="6" t="s">
        <v>74</v>
      </c>
      <c r="E404" s="9" t="s">
        <v>541</v>
      </c>
      <c r="F404" s="10" t="s">
        <v>541</v>
      </c>
      <c r="G404" s="6"/>
      <c r="H404" s="5" t="s">
        <v>904</v>
      </c>
    </row>
    <row r="405" spans="1:8" ht="15.75" x14ac:dyDescent="0.25">
      <c r="A405" s="4">
        <v>63043576</v>
      </c>
      <c r="B405" s="4">
        <v>21623001872</v>
      </c>
      <c r="C405" s="5" t="s">
        <v>1657</v>
      </c>
      <c r="D405" s="6" t="s">
        <v>74</v>
      </c>
      <c r="E405" s="5" t="s">
        <v>164</v>
      </c>
      <c r="F405" s="6" t="s">
        <v>161</v>
      </c>
      <c r="G405" s="6">
        <f>_xlfn.XLOOKUP(DATA_TABLE[[#This Row],[Matricule]],GLOBAL!$B$2:$B$351,GLOBAL!$F$2:$F$351,"not found")</f>
        <v>21</v>
      </c>
      <c r="H405" s="5" t="s">
        <v>288</v>
      </c>
    </row>
    <row r="406" spans="1:8" ht="15.75" x14ac:dyDescent="0.25">
      <c r="A406" s="4">
        <v>63001598</v>
      </c>
      <c r="B406" s="4">
        <v>885331001350</v>
      </c>
      <c r="C406" s="5" t="s">
        <v>1658</v>
      </c>
      <c r="D406" s="6" t="s">
        <v>89</v>
      </c>
      <c r="E406" s="5" t="s">
        <v>522</v>
      </c>
      <c r="F406" s="6" t="s">
        <v>161</v>
      </c>
      <c r="G406" s="6"/>
      <c r="H406" s="5" t="s">
        <v>905</v>
      </c>
    </row>
    <row r="407" spans="1:8" ht="15.75" x14ac:dyDescent="0.25">
      <c r="A407" s="4">
        <v>63001622</v>
      </c>
      <c r="B407" s="4">
        <v>814368000843</v>
      </c>
      <c r="C407" s="5" t="s">
        <v>1659</v>
      </c>
      <c r="D407" s="6" t="s">
        <v>89</v>
      </c>
      <c r="E407" s="5" t="s">
        <v>523</v>
      </c>
      <c r="F407" s="6" t="s">
        <v>161</v>
      </c>
      <c r="G407" s="6"/>
      <c r="H407" s="5" t="s">
        <v>906</v>
      </c>
    </row>
    <row r="408" spans="1:8" ht="15.75" x14ac:dyDescent="0.25">
      <c r="A408" s="4">
        <v>63001633</v>
      </c>
      <c r="B408" s="4">
        <v>920007077843</v>
      </c>
      <c r="C408" s="5" t="s">
        <v>1660</v>
      </c>
      <c r="D408" s="6" t="s">
        <v>89</v>
      </c>
      <c r="E408" s="5" t="s">
        <v>326</v>
      </c>
      <c r="F408" s="6" t="s">
        <v>161</v>
      </c>
      <c r="G408" s="6"/>
      <c r="H408" s="5" t="s">
        <v>907</v>
      </c>
    </row>
    <row r="409" spans="1:8" ht="15.75" x14ac:dyDescent="0.25">
      <c r="A409" s="4">
        <v>63001634</v>
      </c>
      <c r="B409" s="4">
        <v>860290006540</v>
      </c>
      <c r="C409" s="5" t="s">
        <v>1661</v>
      </c>
      <c r="D409" s="6" t="s">
        <v>89</v>
      </c>
      <c r="E409" s="5" t="s">
        <v>326</v>
      </c>
      <c r="F409" s="6" t="s">
        <v>161</v>
      </c>
      <c r="G409" s="6"/>
      <c r="H409" s="5" t="s">
        <v>908</v>
      </c>
    </row>
    <row r="410" spans="1:8" ht="15.75" x14ac:dyDescent="0.25">
      <c r="A410" s="4">
        <v>63001720</v>
      </c>
      <c r="B410" s="4">
        <v>930037051652</v>
      </c>
      <c r="C410" s="5" t="s">
        <v>90</v>
      </c>
      <c r="D410" s="6" t="s">
        <v>89</v>
      </c>
      <c r="E410" s="5" t="s">
        <v>326</v>
      </c>
      <c r="F410" s="6" t="s">
        <v>161</v>
      </c>
      <c r="G410" s="6"/>
      <c r="H410" s="5" t="s">
        <v>1301</v>
      </c>
    </row>
    <row r="411" spans="1:8" ht="15.75" x14ac:dyDescent="0.25">
      <c r="A411" s="4">
        <v>63001956</v>
      </c>
      <c r="B411" s="4">
        <v>843525002352</v>
      </c>
      <c r="C411" s="5" t="s">
        <v>91</v>
      </c>
      <c r="D411" s="6" t="s">
        <v>89</v>
      </c>
      <c r="E411" s="5" t="s">
        <v>169</v>
      </c>
      <c r="F411" s="6" t="s">
        <v>161</v>
      </c>
      <c r="G411" s="6">
        <f>_xlfn.XLOOKUP(DATA_TABLE[[#This Row],[Matricule]],GLOBAL!$B$2:$B$351,GLOBAL!$F$2:$F$351,"not found")</f>
        <v>23</v>
      </c>
      <c r="H411" s="5" t="s">
        <v>168</v>
      </c>
    </row>
    <row r="412" spans="1:8" ht="15.75" x14ac:dyDescent="0.25">
      <c r="A412" s="4">
        <v>63019508</v>
      </c>
      <c r="B412" s="4">
        <v>744596000143</v>
      </c>
      <c r="C412" s="5" t="s">
        <v>92</v>
      </c>
      <c r="D412" s="6" t="s">
        <v>89</v>
      </c>
      <c r="E412" s="9" t="s">
        <v>541</v>
      </c>
      <c r="F412" s="10" t="s">
        <v>541</v>
      </c>
      <c r="G412" s="6"/>
      <c r="H412" s="5" t="s">
        <v>1302</v>
      </c>
    </row>
    <row r="413" spans="1:8" ht="15.75" x14ac:dyDescent="0.25">
      <c r="A413" s="4">
        <v>90000110</v>
      </c>
      <c r="B413" s="4" t="s">
        <v>93</v>
      </c>
      <c r="C413" s="5" t="s">
        <v>1662</v>
      </c>
      <c r="D413" s="6" t="s">
        <v>89</v>
      </c>
      <c r="E413" s="9" t="s">
        <v>541</v>
      </c>
      <c r="F413" s="10" t="s">
        <v>541</v>
      </c>
      <c r="G413" s="6"/>
      <c r="H413" s="5" t="s">
        <v>909</v>
      </c>
    </row>
    <row r="414" spans="1:8" ht="15.75" x14ac:dyDescent="0.25">
      <c r="A414" s="4">
        <v>90000150</v>
      </c>
      <c r="B414" s="4" t="s">
        <v>93</v>
      </c>
      <c r="C414" s="5" t="s">
        <v>1663</v>
      </c>
      <c r="D414" s="6" t="s">
        <v>89</v>
      </c>
      <c r="E414" s="9" t="s">
        <v>541</v>
      </c>
      <c r="F414" s="10" t="s">
        <v>541</v>
      </c>
      <c r="G414" s="6"/>
      <c r="H414" s="5" t="s">
        <v>910</v>
      </c>
    </row>
    <row r="415" spans="1:8" ht="15.75" x14ac:dyDescent="0.25">
      <c r="A415" s="4">
        <v>90000151</v>
      </c>
      <c r="B415" s="4" t="s">
        <v>93</v>
      </c>
      <c r="C415" s="5" t="s">
        <v>1664</v>
      </c>
      <c r="D415" s="6" t="s">
        <v>89</v>
      </c>
      <c r="E415" s="9" t="s">
        <v>541</v>
      </c>
      <c r="F415" s="10" t="s">
        <v>541</v>
      </c>
      <c r="G415" s="6"/>
      <c r="H415" s="5" t="s">
        <v>911</v>
      </c>
    </row>
    <row r="416" spans="1:8" ht="15.75" x14ac:dyDescent="0.25">
      <c r="A416" s="4">
        <v>90000155</v>
      </c>
      <c r="B416" s="4" t="s">
        <v>93</v>
      </c>
      <c r="C416" s="5" t="s">
        <v>2077</v>
      </c>
      <c r="D416" s="6" t="s">
        <v>89</v>
      </c>
      <c r="E416" s="9" t="s">
        <v>541</v>
      </c>
      <c r="F416" s="10" t="s">
        <v>541</v>
      </c>
      <c r="G416" s="6"/>
      <c r="H416" s="5" t="s">
        <v>566</v>
      </c>
    </row>
    <row r="417" spans="1:8" ht="15.75" x14ac:dyDescent="0.25">
      <c r="A417" s="4">
        <v>90000156</v>
      </c>
      <c r="B417" s="4" t="s">
        <v>93</v>
      </c>
      <c r="C417" s="5" t="s">
        <v>1665</v>
      </c>
      <c r="D417" s="6" t="s">
        <v>89</v>
      </c>
      <c r="E417" s="9" t="s">
        <v>541</v>
      </c>
      <c r="F417" s="10" t="s">
        <v>541</v>
      </c>
      <c r="G417" s="6"/>
      <c r="H417" s="5" t="s">
        <v>912</v>
      </c>
    </row>
    <row r="418" spans="1:8" ht="15.75" x14ac:dyDescent="0.25">
      <c r="A418" s="4">
        <v>90000157</v>
      </c>
      <c r="B418" s="4" t="s">
        <v>93</v>
      </c>
      <c r="C418" s="5" t="s">
        <v>2078</v>
      </c>
      <c r="D418" s="6" t="s">
        <v>89</v>
      </c>
      <c r="E418" s="9" t="s">
        <v>541</v>
      </c>
      <c r="F418" s="10" t="s">
        <v>541</v>
      </c>
      <c r="G418" s="6"/>
      <c r="H418" s="5" t="s">
        <v>567</v>
      </c>
    </row>
    <row r="419" spans="1:8" ht="15.75" x14ac:dyDescent="0.25">
      <c r="A419" s="4">
        <v>90000158</v>
      </c>
      <c r="B419" s="4" t="s">
        <v>93</v>
      </c>
      <c r="C419" s="5" t="s">
        <v>2079</v>
      </c>
      <c r="D419" s="6" t="s">
        <v>89</v>
      </c>
      <c r="E419" s="9" t="s">
        <v>541</v>
      </c>
      <c r="F419" s="10" t="s">
        <v>541</v>
      </c>
      <c r="G419" s="6"/>
      <c r="H419" s="5" t="s">
        <v>568</v>
      </c>
    </row>
    <row r="420" spans="1:8" ht="15.75" x14ac:dyDescent="0.25">
      <c r="A420" s="4">
        <v>90000159</v>
      </c>
      <c r="B420" s="4" t="s">
        <v>93</v>
      </c>
      <c r="C420" s="5" t="s">
        <v>1666</v>
      </c>
      <c r="D420" s="6" t="s">
        <v>89</v>
      </c>
      <c r="E420" s="9" t="s">
        <v>541</v>
      </c>
      <c r="F420" s="10" t="s">
        <v>541</v>
      </c>
      <c r="G420" s="6"/>
      <c r="H420" s="5" t="s">
        <v>913</v>
      </c>
    </row>
    <row r="421" spans="1:8" ht="15.75" x14ac:dyDescent="0.25">
      <c r="A421" s="4">
        <v>90000160</v>
      </c>
      <c r="B421" s="4" t="s">
        <v>93</v>
      </c>
      <c r="C421" s="5" t="s">
        <v>1667</v>
      </c>
      <c r="D421" s="6" t="s">
        <v>89</v>
      </c>
      <c r="E421" s="9" t="s">
        <v>541</v>
      </c>
      <c r="F421" s="10" t="s">
        <v>541</v>
      </c>
      <c r="G421" s="6"/>
      <c r="H421" s="5" t="s">
        <v>914</v>
      </c>
    </row>
    <row r="422" spans="1:8" ht="15.75" x14ac:dyDescent="0.25">
      <c r="A422" s="4">
        <v>90000161</v>
      </c>
      <c r="B422" s="4" t="s">
        <v>93</v>
      </c>
      <c r="C422" s="5" t="s">
        <v>1668</v>
      </c>
      <c r="D422" s="6" t="s">
        <v>89</v>
      </c>
      <c r="E422" s="9" t="s">
        <v>541</v>
      </c>
      <c r="F422" s="10" t="s">
        <v>541</v>
      </c>
      <c r="G422" s="6"/>
      <c r="H422" s="5" t="s">
        <v>915</v>
      </c>
    </row>
    <row r="423" spans="1:8" ht="15.75" x14ac:dyDescent="0.25">
      <c r="A423" s="4">
        <v>90000162</v>
      </c>
      <c r="B423" s="4" t="s">
        <v>93</v>
      </c>
      <c r="C423" s="5" t="s">
        <v>1669</v>
      </c>
      <c r="D423" s="6" t="s">
        <v>89</v>
      </c>
      <c r="E423" s="9" t="s">
        <v>541</v>
      </c>
      <c r="F423" s="10" t="s">
        <v>541</v>
      </c>
      <c r="G423" s="6"/>
      <c r="H423" s="5" t="s">
        <v>916</v>
      </c>
    </row>
    <row r="424" spans="1:8" ht="15.75" x14ac:dyDescent="0.25">
      <c r="A424" s="4">
        <v>90000163</v>
      </c>
      <c r="B424" s="4" t="s">
        <v>93</v>
      </c>
      <c r="C424" s="5" t="s">
        <v>2080</v>
      </c>
      <c r="D424" s="6" t="s">
        <v>89</v>
      </c>
      <c r="E424" s="9" t="s">
        <v>541</v>
      </c>
      <c r="F424" s="10" t="s">
        <v>541</v>
      </c>
      <c r="G424" s="6"/>
      <c r="H424" s="5" t="s">
        <v>569</v>
      </c>
    </row>
    <row r="425" spans="1:8" ht="15.75" x14ac:dyDescent="0.25">
      <c r="A425" s="4">
        <v>90000164</v>
      </c>
      <c r="B425" s="4" t="s">
        <v>93</v>
      </c>
      <c r="C425" s="5" t="s">
        <v>1670</v>
      </c>
      <c r="D425" s="6" t="s">
        <v>89</v>
      </c>
      <c r="E425" s="9" t="s">
        <v>541</v>
      </c>
      <c r="F425" s="10" t="s">
        <v>541</v>
      </c>
      <c r="G425" s="6"/>
      <c r="H425" s="5" t="s">
        <v>917</v>
      </c>
    </row>
    <row r="426" spans="1:8" ht="15.75" x14ac:dyDescent="0.25">
      <c r="A426" s="4">
        <v>90000165</v>
      </c>
      <c r="B426" s="4" t="s">
        <v>93</v>
      </c>
      <c r="C426" s="5" t="s">
        <v>1671</v>
      </c>
      <c r="D426" s="6" t="s">
        <v>89</v>
      </c>
      <c r="E426" s="9" t="s">
        <v>541</v>
      </c>
      <c r="F426" s="10" t="s">
        <v>541</v>
      </c>
      <c r="G426" s="6"/>
      <c r="H426" s="5" t="s">
        <v>918</v>
      </c>
    </row>
    <row r="427" spans="1:8" ht="15.75" x14ac:dyDescent="0.25">
      <c r="A427" s="4">
        <v>90000166</v>
      </c>
      <c r="B427" s="4" t="s">
        <v>93</v>
      </c>
      <c r="C427" s="5" t="s">
        <v>1672</v>
      </c>
      <c r="D427" s="6" t="s">
        <v>89</v>
      </c>
      <c r="E427" s="9" t="s">
        <v>541</v>
      </c>
      <c r="F427" s="10" t="s">
        <v>541</v>
      </c>
      <c r="G427" s="6"/>
      <c r="H427" s="5" t="s">
        <v>919</v>
      </c>
    </row>
    <row r="428" spans="1:8" ht="15.75" x14ac:dyDescent="0.25">
      <c r="A428" s="4">
        <v>90000167</v>
      </c>
      <c r="B428" s="4" t="s">
        <v>93</v>
      </c>
      <c r="C428" s="5" t="s">
        <v>1673</v>
      </c>
      <c r="D428" s="6" t="s">
        <v>89</v>
      </c>
      <c r="E428" s="9" t="s">
        <v>541</v>
      </c>
      <c r="F428" s="10" t="s">
        <v>541</v>
      </c>
      <c r="G428" s="6"/>
      <c r="H428" s="5" t="s">
        <v>920</v>
      </c>
    </row>
    <row r="429" spans="1:8" ht="15.75" x14ac:dyDescent="0.25">
      <c r="A429" s="4">
        <v>90000168</v>
      </c>
      <c r="B429" s="4" t="s">
        <v>93</v>
      </c>
      <c r="C429" s="5" t="s">
        <v>2081</v>
      </c>
      <c r="D429" s="6" t="s">
        <v>89</v>
      </c>
      <c r="E429" s="9" t="s">
        <v>541</v>
      </c>
      <c r="F429" s="10" t="s">
        <v>541</v>
      </c>
      <c r="G429" s="6"/>
      <c r="H429" s="5" t="s">
        <v>570</v>
      </c>
    </row>
    <row r="430" spans="1:8" ht="15.75" x14ac:dyDescent="0.25">
      <c r="A430" s="4">
        <v>90000169</v>
      </c>
      <c r="B430" s="4" t="s">
        <v>93</v>
      </c>
      <c r="C430" s="5" t="s">
        <v>1674</v>
      </c>
      <c r="D430" s="6" t="s">
        <v>89</v>
      </c>
      <c r="E430" s="9" t="s">
        <v>541</v>
      </c>
      <c r="F430" s="10" t="s">
        <v>541</v>
      </c>
      <c r="G430" s="6"/>
      <c r="H430" s="5" t="s">
        <v>921</v>
      </c>
    </row>
    <row r="431" spans="1:8" ht="15.75" x14ac:dyDescent="0.25">
      <c r="A431" s="4">
        <v>90000171</v>
      </c>
      <c r="B431" s="4" t="s">
        <v>93</v>
      </c>
      <c r="C431" s="5" t="s">
        <v>1675</v>
      </c>
      <c r="D431" s="6" t="s">
        <v>89</v>
      </c>
      <c r="E431" s="9" t="s">
        <v>541</v>
      </c>
      <c r="F431" s="10" t="s">
        <v>541</v>
      </c>
      <c r="G431" s="6"/>
      <c r="H431" s="5" t="s">
        <v>922</v>
      </c>
    </row>
    <row r="432" spans="1:8" ht="15.75" x14ac:dyDescent="0.25">
      <c r="A432" s="4">
        <v>90000175</v>
      </c>
      <c r="B432" s="4" t="s">
        <v>93</v>
      </c>
      <c r="C432" s="5" t="s">
        <v>1676</v>
      </c>
      <c r="D432" s="6" t="s">
        <v>89</v>
      </c>
      <c r="E432" s="9" t="s">
        <v>541</v>
      </c>
      <c r="F432" s="10" t="s">
        <v>541</v>
      </c>
      <c r="G432" s="6"/>
      <c r="H432" s="5" t="s">
        <v>923</v>
      </c>
    </row>
    <row r="433" spans="1:8" ht="15.75" x14ac:dyDescent="0.25">
      <c r="A433" s="4">
        <v>90000176</v>
      </c>
      <c r="B433" s="4" t="s">
        <v>93</v>
      </c>
      <c r="C433" s="5" t="s">
        <v>2082</v>
      </c>
      <c r="D433" s="6" t="s">
        <v>89</v>
      </c>
      <c r="E433" s="9" t="s">
        <v>541</v>
      </c>
      <c r="F433" s="10" t="s">
        <v>541</v>
      </c>
      <c r="G433" s="6"/>
      <c r="H433" s="5" t="s">
        <v>571</v>
      </c>
    </row>
    <row r="434" spans="1:8" ht="15.75" x14ac:dyDescent="0.25">
      <c r="A434" s="4">
        <v>90000177</v>
      </c>
      <c r="B434" s="4" t="s">
        <v>93</v>
      </c>
      <c r="C434" s="5" t="s">
        <v>1677</v>
      </c>
      <c r="D434" s="6" t="s">
        <v>89</v>
      </c>
      <c r="E434" s="9" t="s">
        <v>541</v>
      </c>
      <c r="F434" s="10" t="s">
        <v>541</v>
      </c>
      <c r="G434" s="6"/>
      <c r="H434" s="5" t="s">
        <v>924</v>
      </c>
    </row>
    <row r="435" spans="1:8" ht="15.75" x14ac:dyDescent="0.25">
      <c r="A435" s="4">
        <v>90000178</v>
      </c>
      <c r="B435" s="4" t="s">
        <v>93</v>
      </c>
      <c r="C435" s="5" t="s">
        <v>1678</v>
      </c>
      <c r="D435" s="6" t="s">
        <v>89</v>
      </c>
      <c r="E435" s="9" t="s">
        <v>541</v>
      </c>
      <c r="F435" s="10" t="s">
        <v>541</v>
      </c>
      <c r="G435" s="6"/>
      <c r="H435" s="5" t="s">
        <v>925</v>
      </c>
    </row>
    <row r="436" spans="1:8" ht="15.75" x14ac:dyDescent="0.25">
      <c r="A436" s="4">
        <v>90000179</v>
      </c>
      <c r="B436" s="4" t="s">
        <v>93</v>
      </c>
      <c r="C436" s="5" t="s">
        <v>1679</v>
      </c>
      <c r="D436" s="6" t="s">
        <v>89</v>
      </c>
      <c r="E436" s="9" t="s">
        <v>541</v>
      </c>
      <c r="F436" s="10" t="s">
        <v>541</v>
      </c>
      <c r="G436" s="6"/>
      <c r="H436" s="5" t="s">
        <v>926</v>
      </c>
    </row>
    <row r="437" spans="1:8" ht="15.75" x14ac:dyDescent="0.25">
      <c r="A437" s="4">
        <v>90000180</v>
      </c>
      <c r="B437" s="4" t="s">
        <v>93</v>
      </c>
      <c r="C437" s="5" t="s">
        <v>2083</v>
      </c>
      <c r="D437" s="6" t="s">
        <v>89</v>
      </c>
      <c r="E437" s="9" t="s">
        <v>541</v>
      </c>
      <c r="F437" s="10" t="s">
        <v>541</v>
      </c>
      <c r="G437" s="6"/>
      <c r="H437" s="5" t="s">
        <v>572</v>
      </c>
    </row>
    <row r="438" spans="1:8" ht="15.75" x14ac:dyDescent="0.25">
      <c r="A438" s="4">
        <v>90000181</v>
      </c>
      <c r="B438" s="4" t="s">
        <v>93</v>
      </c>
      <c r="C438" s="5" t="s">
        <v>1680</v>
      </c>
      <c r="D438" s="6" t="s">
        <v>89</v>
      </c>
      <c r="E438" s="9" t="s">
        <v>541</v>
      </c>
      <c r="F438" s="10" t="s">
        <v>541</v>
      </c>
      <c r="G438" s="6"/>
      <c r="H438" s="5" t="s">
        <v>927</v>
      </c>
    </row>
    <row r="439" spans="1:8" ht="15.75" x14ac:dyDescent="0.25">
      <c r="A439" s="4">
        <v>90000182</v>
      </c>
      <c r="B439" s="4" t="s">
        <v>93</v>
      </c>
      <c r="C439" s="5" t="s">
        <v>1681</v>
      </c>
      <c r="D439" s="6" t="s">
        <v>89</v>
      </c>
      <c r="E439" s="9" t="s">
        <v>541</v>
      </c>
      <c r="F439" s="10" t="s">
        <v>541</v>
      </c>
      <c r="G439" s="6"/>
      <c r="H439" s="5" t="s">
        <v>928</v>
      </c>
    </row>
    <row r="440" spans="1:8" ht="15.75" x14ac:dyDescent="0.25">
      <c r="A440" s="4">
        <v>90000183</v>
      </c>
      <c r="B440" s="4" t="s">
        <v>93</v>
      </c>
      <c r="C440" s="5" t="s">
        <v>2084</v>
      </c>
      <c r="D440" s="6" t="s">
        <v>89</v>
      </c>
      <c r="E440" s="9" t="s">
        <v>541</v>
      </c>
      <c r="F440" s="10" t="s">
        <v>541</v>
      </c>
      <c r="G440" s="6"/>
      <c r="H440" s="5" t="s">
        <v>573</v>
      </c>
    </row>
    <row r="441" spans="1:8" ht="15.75" x14ac:dyDescent="0.25">
      <c r="A441" s="4">
        <v>90000184</v>
      </c>
      <c r="B441" s="4" t="s">
        <v>93</v>
      </c>
      <c r="C441" s="5" t="s">
        <v>2085</v>
      </c>
      <c r="D441" s="6" t="s">
        <v>89</v>
      </c>
      <c r="E441" s="9" t="s">
        <v>541</v>
      </c>
      <c r="F441" s="10" t="s">
        <v>541</v>
      </c>
      <c r="G441" s="6"/>
      <c r="H441" s="5" t="s">
        <v>574</v>
      </c>
    </row>
    <row r="442" spans="1:8" ht="15.75" x14ac:dyDescent="0.25">
      <c r="A442" s="4">
        <v>90000185</v>
      </c>
      <c r="B442" s="4" t="s">
        <v>93</v>
      </c>
      <c r="C442" s="5" t="s">
        <v>2086</v>
      </c>
      <c r="D442" s="6" t="s">
        <v>89</v>
      </c>
      <c r="E442" s="9" t="s">
        <v>541</v>
      </c>
      <c r="F442" s="10" t="s">
        <v>541</v>
      </c>
      <c r="G442" s="6"/>
      <c r="H442" s="5" t="s">
        <v>575</v>
      </c>
    </row>
    <row r="443" spans="1:8" ht="15.75" x14ac:dyDescent="0.25">
      <c r="A443" s="4">
        <v>90000186</v>
      </c>
      <c r="B443" s="4" t="s">
        <v>93</v>
      </c>
      <c r="C443" s="5" t="s">
        <v>1682</v>
      </c>
      <c r="D443" s="6" t="s">
        <v>89</v>
      </c>
      <c r="E443" s="9" t="s">
        <v>541</v>
      </c>
      <c r="F443" s="10" t="s">
        <v>541</v>
      </c>
      <c r="G443" s="6"/>
      <c r="H443" s="5" t="s">
        <v>929</v>
      </c>
    </row>
    <row r="444" spans="1:8" ht="15.75" x14ac:dyDescent="0.25">
      <c r="A444" s="4">
        <v>90000187</v>
      </c>
      <c r="B444" s="4" t="s">
        <v>93</v>
      </c>
      <c r="C444" s="5" t="s">
        <v>2087</v>
      </c>
      <c r="D444" s="6" t="s">
        <v>89</v>
      </c>
      <c r="E444" s="9" t="s">
        <v>541</v>
      </c>
      <c r="F444" s="10" t="s">
        <v>541</v>
      </c>
      <c r="G444" s="6"/>
      <c r="H444" s="5" t="s">
        <v>576</v>
      </c>
    </row>
    <row r="445" spans="1:8" ht="15.75" x14ac:dyDescent="0.25">
      <c r="A445" s="4">
        <v>90000188</v>
      </c>
      <c r="B445" s="4" t="s">
        <v>93</v>
      </c>
      <c r="C445" s="5" t="s">
        <v>1683</v>
      </c>
      <c r="D445" s="6" t="s">
        <v>89</v>
      </c>
      <c r="E445" s="9" t="s">
        <v>541</v>
      </c>
      <c r="F445" s="10" t="s">
        <v>541</v>
      </c>
      <c r="G445" s="6"/>
      <c r="H445" s="5" t="s">
        <v>930</v>
      </c>
    </row>
    <row r="446" spans="1:8" ht="15.75" x14ac:dyDescent="0.25">
      <c r="A446" s="4">
        <v>90000189</v>
      </c>
      <c r="B446" s="4" t="s">
        <v>93</v>
      </c>
      <c r="C446" s="5" t="s">
        <v>1684</v>
      </c>
      <c r="D446" s="6" t="s">
        <v>89</v>
      </c>
      <c r="E446" s="9" t="s">
        <v>541</v>
      </c>
      <c r="F446" s="10" t="s">
        <v>541</v>
      </c>
      <c r="G446" s="6"/>
      <c r="H446" s="5" t="s">
        <v>931</v>
      </c>
    </row>
    <row r="447" spans="1:8" ht="15.75" x14ac:dyDescent="0.25">
      <c r="A447" s="4">
        <v>90000190</v>
      </c>
      <c r="B447" s="4" t="s">
        <v>93</v>
      </c>
      <c r="C447" s="5" t="s">
        <v>1685</v>
      </c>
      <c r="D447" s="6" t="s">
        <v>89</v>
      </c>
      <c r="E447" s="9" t="s">
        <v>541</v>
      </c>
      <c r="F447" s="10" t="s">
        <v>541</v>
      </c>
      <c r="G447" s="6"/>
      <c r="H447" s="5" t="s">
        <v>932</v>
      </c>
    </row>
    <row r="448" spans="1:8" ht="15.75" x14ac:dyDescent="0.25">
      <c r="A448" s="4">
        <v>90000192</v>
      </c>
      <c r="B448" s="4" t="s">
        <v>93</v>
      </c>
      <c r="C448" s="5" t="s">
        <v>1686</v>
      </c>
      <c r="D448" s="6" t="s">
        <v>89</v>
      </c>
      <c r="E448" s="9" t="s">
        <v>541</v>
      </c>
      <c r="F448" s="10" t="s">
        <v>541</v>
      </c>
      <c r="G448" s="6"/>
      <c r="H448" s="5" t="s">
        <v>933</v>
      </c>
    </row>
    <row r="449" spans="1:8" ht="15.75" x14ac:dyDescent="0.25">
      <c r="A449" s="4">
        <v>90000193</v>
      </c>
      <c r="B449" s="4" t="s">
        <v>93</v>
      </c>
      <c r="C449" s="5" t="s">
        <v>1687</v>
      </c>
      <c r="D449" s="6" t="s">
        <v>89</v>
      </c>
      <c r="E449" s="9" t="s">
        <v>541</v>
      </c>
      <c r="F449" s="10" t="s">
        <v>541</v>
      </c>
      <c r="G449" s="6"/>
      <c r="H449" s="5" t="s">
        <v>934</v>
      </c>
    </row>
    <row r="450" spans="1:8" ht="15.75" x14ac:dyDescent="0.25">
      <c r="A450" s="4">
        <v>90000194</v>
      </c>
      <c r="B450" s="4" t="s">
        <v>93</v>
      </c>
      <c r="C450" s="5" t="s">
        <v>1688</v>
      </c>
      <c r="D450" s="6" t="s">
        <v>89</v>
      </c>
      <c r="E450" s="9" t="s">
        <v>541</v>
      </c>
      <c r="F450" s="10" t="s">
        <v>541</v>
      </c>
      <c r="G450" s="6"/>
      <c r="H450" s="5" t="s">
        <v>935</v>
      </c>
    </row>
    <row r="451" spans="1:8" ht="15.75" x14ac:dyDescent="0.25">
      <c r="A451" s="4">
        <v>90000195</v>
      </c>
      <c r="B451" s="4" t="s">
        <v>93</v>
      </c>
      <c r="C451" s="5" t="s">
        <v>2088</v>
      </c>
      <c r="D451" s="6" t="s">
        <v>89</v>
      </c>
      <c r="E451" s="9" t="s">
        <v>541</v>
      </c>
      <c r="F451" s="10" t="s">
        <v>541</v>
      </c>
      <c r="G451" s="6"/>
      <c r="H451" s="5" t="s">
        <v>577</v>
      </c>
    </row>
    <row r="452" spans="1:8" ht="15.75" x14ac:dyDescent="0.25">
      <c r="A452" s="4">
        <v>90000196</v>
      </c>
      <c r="B452" s="4" t="s">
        <v>93</v>
      </c>
      <c r="C452" s="5" t="s">
        <v>1689</v>
      </c>
      <c r="D452" s="6" t="s">
        <v>89</v>
      </c>
      <c r="E452" s="9" t="s">
        <v>541</v>
      </c>
      <c r="F452" s="10" t="s">
        <v>541</v>
      </c>
      <c r="G452" s="6"/>
      <c r="H452" s="5" t="s">
        <v>936</v>
      </c>
    </row>
    <row r="453" spans="1:8" ht="15.75" x14ac:dyDescent="0.25">
      <c r="A453" s="4">
        <v>90000197</v>
      </c>
      <c r="B453" s="4" t="s">
        <v>93</v>
      </c>
      <c r="C453" s="5" t="s">
        <v>1690</v>
      </c>
      <c r="D453" s="6" t="s">
        <v>89</v>
      </c>
      <c r="E453" s="9" t="s">
        <v>541</v>
      </c>
      <c r="F453" s="10" t="s">
        <v>541</v>
      </c>
      <c r="G453" s="6"/>
      <c r="H453" s="5" t="s">
        <v>937</v>
      </c>
    </row>
    <row r="454" spans="1:8" ht="15.75" x14ac:dyDescent="0.25">
      <c r="A454" s="4">
        <v>90000198</v>
      </c>
      <c r="B454" s="4" t="s">
        <v>93</v>
      </c>
      <c r="C454" s="5" t="s">
        <v>2089</v>
      </c>
      <c r="D454" s="6" t="s">
        <v>89</v>
      </c>
      <c r="E454" s="9" t="s">
        <v>541</v>
      </c>
      <c r="F454" s="10" t="s">
        <v>541</v>
      </c>
      <c r="G454" s="6"/>
      <c r="H454" s="5" t="s">
        <v>578</v>
      </c>
    </row>
    <row r="455" spans="1:8" ht="15.75" x14ac:dyDescent="0.25">
      <c r="A455" s="4">
        <v>90000199</v>
      </c>
      <c r="B455" s="4" t="s">
        <v>93</v>
      </c>
      <c r="C455" s="5" t="s">
        <v>1691</v>
      </c>
      <c r="D455" s="6" t="s">
        <v>89</v>
      </c>
      <c r="E455" s="9" t="s">
        <v>541</v>
      </c>
      <c r="F455" s="10" t="s">
        <v>541</v>
      </c>
      <c r="G455" s="6"/>
      <c r="H455" s="5" t="s">
        <v>938</v>
      </c>
    </row>
    <row r="456" spans="1:8" ht="15.75" x14ac:dyDescent="0.25">
      <c r="A456" s="4">
        <v>90000200</v>
      </c>
      <c r="B456" s="4" t="s">
        <v>93</v>
      </c>
      <c r="C456" s="5" t="s">
        <v>1692</v>
      </c>
      <c r="D456" s="6" t="s">
        <v>89</v>
      </c>
      <c r="E456" s="9" t="s">
        <v>541</v>
      </c>
      <c r="F456" s="10" t="s">
        <v>541</v>
      </c>
      <c r="G456" s="6"/>
      <c r="H456" s="5" t="s">
        <v>939</v>
      </c>
    </row>
    <row r="457" spans="1:8" ht="15.75" x14ac:dyDescent="0.25">
      <c r="A457" s="4">
        <v>90000201</v>
      </c>
      <c r="B457" s="4" t="s">
        <v>93</v>
      </c>
      <c r="C457" s="5" t="s">
        <v>1693</v>
      </c>
      <c r="D457" s="6" t="s">
        <v>89</v>
      </c>
      <c r="E457" s="9" t="s">
        <v>541</v>
      </c>
      <c r="F457" s="10" t="s">
        <v>541</v>
      </c>
      <c r="G457" s="6"/>
      <c r="H457" s="5" t="s">
        <v>940</v>
      </c>
    </row>
    <row r="458" spans="1:8" ht="15.75" x14ac:dyDescent="0.25">
      <c r="A458" s="4">
        <v>90000202</v>
      </c>
      <c r="B458" s="4" t="s">
        <v>93</v>
      </c>
      <c r="C458" s="5" t="s">
        <v>1694</v>
      </c>
      <c r="D458" s="6" t="s">
        <v>89</v>
      </c>
      <c r="E458" s="9" t="s">
        <v>541</v>
      </c>
      <c r="F458" s="10" t="s">
        <v>541</v>
      </c>
      <c r="G458" s="6"/>
      <c r="H458" s="5" t="s">
        <v>941</v>
      </c>
    </row>
    <row r="459" spans="1:8" ht="15.75" x14ac:dyDescent="0.25">
      <c r="A459" s="4">
        <v>90000203</v>
      </c>
      <c r="B459" s="4" t="s">
        <v>93</v>
      </c>
      <c r="C459" s="5" t="s">
        <v>1695</v>
      </c>
      <c r="D459" s="6" t="s">
        <v>89</v>
      </c>
      <c r="E459" s="9" t="s">
        <v>541</v>
      </c>
      <c r="F459" s="10" t="s">
        <v>541</v>
      </c>
      <c r="G459" s="6"/>
      <c r="H459" s="5" t="s">
        <v>942</v>
      </c>
    </row>
    <row r="460" spans="1:8" ht="15.75" x14ac:dyDescent="0.25">
      <c r="A460" s="4">
        <v>90000204</v>
      </c>
      <c r="B460" s="4" t="s">
        <v>93</v>
      </c>
      <c r="C460" s="5" t="s">
        <v>2090</v>
      </c>
      <c r="D460" s="6" t="s">
        <v>89</v>
      </c>
      <c r="E460" s="9" t="s">
        <v>541</v>
      </c>
      <c r="F460" s="10" t="s">
        <v>541</v>
      </c>
      <c r="G460" s="6"/>
      <c r="H460" s="5" t="s">
        <v>579</v>
      </c>
    </row>
    <row r="461" spans="1:8" ht="15.75" x14ac:dyDescent="0.25">
      <c r="A461" s="4">
        <v>90000205</v>
      </c>
      <c r="B461" s="4" t="s">
        <v>93</v>
      </c>
      <c r="C461" s="5" t="s">
        <v>1696</v>
      </c>
      <c r="D461" s="6" t="s">
        <v>89</v>
      </c>
      <c r="E461" s="9" t="s">
        <v>541</v>
      </c>
      <c r="F461" s="10" t="s">
        <v>541</v>
      </c>
      <c r="G461" s="6"/>
      <c r="H461" s="5" t="s">
        <v>943</v>
      </c>
    </row>
    <row r="462" spans="1:8" ht="15.75" x14ac:dyDescent="0.25">
      <c r="A462" s="4">
        <v>90000206</v>
      </c>
      <c r="B462" s="4" t="s">
        <v>93</v>
      </c>
      <c r="C462" s="5" t="s">
        <v>1697</v>
      </c>
      <c r="D462" s="6" t="s">
        <v>89</v>
      </c>
      <c r="E462" s="9" t="s">
        <v>541</v>
      </c>
      <c r="F462" s="10" t="s">
        <v>541</v>
      </c>
      <c r="G462" s="6"/>
      <c r="H462" s="5" t="s">
        <v>944</v>
      </c>
    </row>
    <row r="463" spans="1:8" ht="15.75" x14ac:dyDescent="0.25">
      <c r="A463" s="4">
        <v>90000208</v>
      </c>
      <c r="B463" s="4" t="s">
        <v>93</v>
      </c>
      <c r="C463" s="5" t="s">
        <v>2091</v>
      </c>
      <c r="D463" s="6" t="s">
        <v>89</v>
      </c>
      <c r="E463" s="9" t="s">
        <v>541</v>
      </c>
      <c r="F463" s="10" t="s">
        <v>541</v>
      </c>
      <c r="G463" s="6"/>
      <c r="H463" s="5" t="s">
        <v>580</v>
      </c>
    </row>
    <row r="464" spans="1:8" ht="15.75" x14ac:dyDescent="0.25">
      <c r="A464" s="4">
        <v>90000209</v>
      </c>
      <c r="B464" s="4" t="s">
        <v>93</v>
      </c>
      <c r="C464" s="5" t="s">
        <v>1698</v>
      </c>
      <c r="D464" s="6" t="s">
        <v>89</v>
      </c>
      <c r="E464" s="9" t="s">
        <v>541</v>
      </c>
      <c r="F464" s="10" t="s">
        <v>541</v>
      </c>
      <c r="G464" s="6"/>
      <c r="H464" s="5" t="s">
        <v>945</v>
      </c>
    </row>
    <row r="465" spans="1:8" ht="15.75" x14ac:dyDescent="0.25">
      <c r="A465" s="4">
        <v>90000210</v>
      </c>
      <c r="B465" s="4" t="s">
        <v>93</v>
      </c>
      <c r="C465" s="5" t="s">
        <v>1699</v>
      </c>
      <c r="D465" s="6" t="s">
        <v>89</v>
      </c>
      <c r="E465" s="9" t="s">
        <v>541</v>
      </c>
      <c r="F465" s="10" t="s">
        <v>541</v>
      </c>
      <c r="G465" s="6"/>
      <c r="H465" s="5" t="s">
        <v>946</v>
      </c>
    </row>
    <row r="466" spans="1:8" ht="15.75" x14ac:dyDescent="0.25">
      <c r="A466" s="4">
        <v>90000214</v>
      </c>
      <c r="B466" s="4" t="s">
        <v>93</v>
      </c>
      <c r="C466" s="5" t="s">
        <v>1700</v>
      </c>
      <c r="D466" s="6" t="s">
        <v>89</v>
      </c>
      <c r="E466" s="9" t="s">
        <v>541</v>
      </c>
      <c r="F466" s="10" t="s">
        <v>541</v>
      </c>
      <c r="G466" s="6"/>
      <c r="H466" s="5" t="s">
        <v>947</v>
      </c>
    </row>
    <row r="467" spans="1:8" ht="15.75" x14ac:dyDescent="0.25">
      <c r="A467" s="4">
        <v>90000215</v>
      </c>
      <c r="B467" s="4" t="s">
        <v>93</v>
      </c>
      <c r="C467" s="5" t="s">
        <v>1701</v>
      </c>
      <c r="D467" s="6" t="s">
        <v>89</v>
      </c>
      <c r="E467" s="9" t="s">
        <v>541</v>
      </c>
      <c r="F467" s="10" t="s">
        <v>541</v>
      </c>
      <c r="G467" s="6"/>
      <c r="H467" s="5" t="s">
        <v>948</v>
      </c>
    </row>
    <row r="468" spans="1:8" ht="15.75" x14ac:dyDescent="0.25">
      <c r="A468" s="4">
        <v>90000216</v>
      </c>
      <c r="B468" s="4" t="s">
        <v>93</v>
      </c>
      <c r="C468" s="5" t="s">
        <v>1702</v>
      </c>
      <c r="D468" s="6" t="s">
        <v>89</v>
      </c>
      <c r="E468" s="9" t="s">
        <v>541</v>
      </c>
      <c r="F468" s="10" t="s">
        <v>541</v>
      </c>
      <c r="G468" s="6"/>
      <c r="H468" s="5" t="s">
        <v>949</v>
      </c>
    </row>
    <row r="469" spans="1:8" ht="15.75" x14ac:dyDescent="0.25">
      <c r="A469" s="4">
        <v>90000217</v>
      </c>
      <c r="B469" s="4" t="s">
        <v>93</v>
      </c>
      <c r="C469" s="5" t="s">
        <v>1703</v>
      </c>
      <c r="D469" s="6" t="s">
        <v>89</v>
      </c>
      <c r="E469" s="9" t="s">
        <v>541</v>
      </c>
      <c r="F469" s="10" t="s">
        <v>541</v>
      </c>
      <c r="G469" s="6"/>
      <c r="H469" s="5" t="s">
        <v>950</v>
      </c>
    </row>
    <row r="470" spans="1:8" ht="15.75" x14ac:dyDescent="0.25">
      <c r="A470" s="4">
        <v>90000218</v>
      </c>
      <c r="B470" s="4" t="s">
        <v>93</v>
      </c>
      <c r="C470" s="5" t="s">
        <v>1704</v>
      </c>
      <c r="D470" s="6" t="s">
        <v>89</v>
      </c>
      <c r="E470" s="9" t="s">
        <v>541</v>
      </c>
      <c r="F470" s="10" t="s">
        <v>541</v>
      </c>
      <c r="G470" s="6"/>
      <c r="H470" s="5" t="s">
        <v>951</v>
      </c>
    </row>
    <row r="471" spans="1:8" ht="15.75" x14ac:dyDescent="0.25">
      <c r="A471" s="4">
        <v>90000219</v>
      </c>
      <c r="B471" s="4" t="s">
        <v>93</v>
      </c>
      <c r="C471" s="5" t="s">
        <v>1705</v>
      </c>
      <c r="D471" s="6" t="s">
        <v>89</v>
      </c>
      <c r="E471" s="9" t="s">
        <v>541</v>
      </c>
      <c r="F471" s="10" t="s">
        <v>541</v>
      </c>
      <c r="G471" s="6"/>
      <c r="H471" s="5" t="s">
        <v>952</v>
      </c>
    </row>
    <row r="472" spans="1:8" ht="15.75" x14ac:dyDescent="0.25">
      <c r="A472" s="4">
        <v>90000220</v>
      </c>
      <c r="B472" s="4" t="s">
        <v>93</v>
      </c>
      <c r="C472" s="5" t="s">
        <v>1706</v>
      </c>
      <c r="D472" s="6" t="s">
        <v>89</v>
      </c>
      <c r="E472" s="9" t="s">
        <v>541</v>
      </c>
      <c r="F472" s="10" t="s">
        <v>541</v>
      </c>
      <c r="G472" s="6"/>
      <c r="H472" s="5" t="s">
        <v>953</v>
      </c>
    </row>
    <row r="473" spans="1:8" ht="15.75" x14ac:dyDescent="0.25">
      <c r="A473" s="4">
        <v>90000221</v>
      </c>
      <c r="B473" s="4" t="s">
        <v>93</v>
      </c>
      <c r="C473" s="5" t="s">
        <v>1707</v>
      </c>
      <c r="D473" s="6" t="s">
        <v>89</v>
      </c>
      <c r="E473" s="9" t="s">
        <v>541</v>
      </c>
      <c r="F473" s="10" t="s">
        <v>541</v>
      </c>
      <c r="G473" s="6"/>
      <c r="H473" s="5" t="s">
        <v>954</v>
      </c>
    </row>
    <row r="474" spans="1:8" ht="15.75" x14ac:dyDescent="0.25">
      <c r="A474" s="4">
        <v>90000223</v>
      </c>
      <c r="B474" s="4" t="s">
        <v>93</v>
      </c>
      <c r="C474" s="5" t="s">
        <v>1708</v>
      </c>
      <c r="D474" s="6" t="s">
        <v>89</v>
      </c>
      <c r="E474" s="9" t="s">
        <v>541</v>
      </c>
      <c r="F474" s="10" t="s">
        <v>541</v>
      </c>
      <c r="G474" s="6"/>
      <c r="H474" s="5" t="s">
        <v>955</v>
      </c>
    </row>
    <row r="475" spans="1:8" ht="15.75" x14ac:dyDescent="0.25">
      <c r="A475" s="4">
        <v>90000224</v>
      </c>
      <c r="B475" s="4" t="s">
        <v>93</v>
      </c>
      <c r="C475" s="5" t="s">
        <v>2092</v>
      </c>
      <c r="D475" s="6" t="s">
        <v>89</v>
      </c>
      <c r="E475" s="9" t="s">
        <v>541</v>
      </c>
      <c r="F475" s="10" t="s">
        <v>541</v>
      </c>
      <c r="G475" s="6"/>
      <c r="H475" s="5" t="s">
        <v>581</v>
      </c>
    </row>
    <row r="476" spans="1:8" ht="15.75" x14ac:dyDescent="0.25">
      <c r="A476" s="4">
        <v>90000225</v>
      </c>
      <c r="B476" s="4" t="s">
        <v>93</v>
      </c>
      <c r="C476" s="5" t="s">
        <v>1709</v>
      </c>
      <c r="D476" s="6" t="s">
        <v>89</v>
      </c>
      <c r="E476" s="9" t="s">
        <v>541</v>
      </c>
      <c r="F476" s="10" t="s">
        <v>541</v>
      </c>
      <c r="G476" s="6"/>
      <c r="H476" s="5" t="s">
        <v>956</v>
      </c>
    </row>
    <row r="477" spans="1:8" ht="15.75" x14ac:dyDescent="0.25">
      <c r="A477" s="4">
        <v>90000326</v>
      </c>
      <c r="B477" s="4" t="s">
        <v>93</v>
      </c>
      <c r="C477" s="5" t="s">
        <v>1710</v>
      </c>
      <c r="D477" s="6" t="s">
        <v>89</v>
      </c>
      <c r="E477" s="9" t="s">
        <v>541</v>
      </c>
      <c r="F477" s="10" t="s">
        <v>541</v>
      </c>
      <c r="G477" s="6"/>
      <c r="H477" s="5" t="s">
        <v>957</v>
      </c>
    </row>
    <row r="478" spans="1:8" ht="15.75" x14ac:dyDescent="0.25">
      <c r="A478" s="4">
        <v>90000327</v>
      </c>
      <c r="B478" s="4" t="s">
        <v>93</v>
      </c>
      <c r="C478" s="5" t="s">
        <v>1711</v>
      </c>
      <c r="D478" s="6" t="s">
        <v>89</v>
      </c>
      <c r="E478" s="9" t="s">
        <v>541</v>
      </c>
      <c r="F478" s="10" t="s">
        <v>541</v>
      </c>
      <c r="G478" s="6"/>
      <c r="H478" s="5" t="s">
        <v>958</v>
      </c>
    </row>
    <row r="479" spans="1:8" ht="15.75" x14ac:dyDescent="0.25">
      <c r="A479" s="4">
        <v>90000328</v>
      </c>
      <c r="B479" s="4" t="s">
        <v>93</v>
      </c>
      <c r="C479" s="5" t="s">
        <v>1712</v>
      </c>
      <c r="D479" s="6" t="s">
        <v>89</v>
      </c>
      <c r="E479" s="9" t="s">
        <v>541</v>
      </c>
      <c r="F479" s="10" t="s">
        <v>541</v>
      </c>
      <c r="G479" s="6"/>
      <c r="H479" s="5" t="s">
        <v>959</v>
      </c>
    </row>
    <row r="480" spans="1:8" ht="15.75" x14ac:dyDescent="0.25">
      <c r="A480" s="4">
        <v>90000329</v>
      </c>
      <c r="B480" s="4" t="s">
        <v>93</v>
      </c>
      <c r="C480" s="5" t="s">
        <v>2093</v>
      </c>
      <c r="D480" s="6" t="s">
        <v>89</v>
      </c>
      <c r="E480" s="9" t="s">
        <v>541</v>
      </c>
      <c r="F480" s="10" t="s">
        <v>541</v>
      </c>
      <c r="G480" s="6"/>
      <c r="H480" s="5" t="s">
        <v>582</v>
      </c>
    </row>
    <row r="481" spans="1:8" ht="15.75" x14ac:dyDescent="0.25">
      <c r="A481" s="4">
        <v>90000330</v>
      </c>
      <c r="B481" s="4" t="s">
        <v>93</v>
      </c>
      <c r="C481" s="5" t="s">
        <v>1713</v>
      </c>
      <c r="D481" s="6" t="s">
        <v>89</v>
      </c>
      <c r="E481" s="9" t="s">
        <v>541</v>
      </c>
      <c r="F481" s="10" t="s">
        <v>541</v>
      </c>
      <c r="G481" s="6"/>
      <c r="H481" s="5" t="s">
        <v>960</v>
      </c>
    </row>
    <row r="482" spans="1:8" ht="15.75" x14ac:dyDescent="0.25">
      <c r="A482" s="4">
        <v>90000331</v>
      </c>
      <c r="B482" s="4" t="s">
        <v>93</v>
      </c>
      <c r="C482" s="5" t="s">
        <v>2094</v>
      </c>
      <c r="D482" s="6" t="s">
        <v>89</v>
      </c>
      <c r="E482" s="9" t="s">
        <v>541</v>
      </c>
      <c r="F482" s="10" t="s">
        <v>541</v>
      </c>
      <c r="G482" s="6"/>
      <c r="H482" s="5" t="s">
        <v>583</v>
      </c>
    </row>
    <row r="483" spans="1:8" ht="15.75" x14ac:dyDescent="0.25">
      <c r="A483" s="4">
        <v>90000332</v>
      </c>
      <c r="B483" s="4" t="s">
        <v>93</v>
      </c>
      <c r="C483" s="5" t="s">
        <v>2095</v>
      </c>
      <c r="D483" s="6" t="s">
        <v>89</v>
      </c>
      <c r="E483" s="9" t="s">
        <v>541</v>
      </c>
      <c r="F483" s="10" t="s">
        <v>541</v>
      </c>
      <c r="G483" s="6"/>
      <c r="H483" s="5" t="s">
        <v>584</v>
      </c>
    </row>
    <row r="484" spans="1:8" ht="15.75" x14ac:dyDescent="0.25">
      <c r="A484" s="4">
        <v>90000333</v>
      </c>
      <c r="B484" s="4" t="s">
        <v>93</v>
      </c>
      <c r="C484" s="5" t="s">
        <v>1714</v>
      </c>
      <c r="D484" s="6" t="s">
        <v>89</v>
      </c>
      <c r="E484" s="9" t="s">
        <v>541</v>
      </c>
      <c r="F484" s="10" t="s">
        <v>541</v>
      </c>
      <c r="G484" s="6"/>
      <c r="H484" s="5" t="s">
        <v>961</v>
      </c>
    </row>
    <row r="485" spans="1:8" ht="15.75" x14ac:dyDescent="0.25">
      <c r="A485" s="4">
        <v>90000334</v>
      </c>
      <c r="B485" s="4" t="s">
        <v>93</v>
      </c>
      <c r="C485" s="5" t="s">
        <v>1715</v>
      </c>
      <c r="D485" s="6" t="s">
        <v>89</v>
      </c>
      <c r="E485" s="9" t="s">
        <v>541</v>
      </c>
      <c r="F485" s="10" t="s">
        <v>541</v>
      </c>
      <c r="G485" s="6"/>
      <c r="H485" s="5" t="s">
        <v>962</v>
      </c>
    </row>
    <row r="486" spans="1:8" ht="15.75" x14ac:dyDescent="0.25">
      <c r="A486" s="4">
        <v>90000335</v>
      </c>
      <c r="B486" s="4" t="s">
        <v>93</v>
      </c>
      <c r="C486" s="5" t="s">
        <v>2096</v>
      </c>
      <c r="D486" s="6" t="s">
        <v>89</v>
      </c>
      <c r="E486" s="9" t="s">
        <v>541</v>
      </c>
      <c r="F486" s="10" t="s">
        <v>541</v>
      </c>
      <c r="G486" s="6"/>
      <c r="H486" s="5" t="s">
        <v>585</v>
      </c>
    </row>
    <row r="487" spans="1:8" ht="15.75" x14ac:dyDescent="0.25">
      <c r="A487" s="4">
        <v>90000336</v>
      </c>
      <c r="B487" s="4" t="s">
        <v>93</v>
      </c>
      <c r="C487" s="5" t="s">
        <v>1716</v>
      </c>
      <c r="D487" s="6" t="s">
        <v>89</v>
      </c>
      <c r="E487" s="9" t="s">
        <v>541</v>
      </c>
      <c r="F487" s="10" t="s">
        <v>541</v>
      </c>
      <c r="G487" s="6"/>
      <c r="H487" s="5" t="s">
        <v>963</v>
      </c>
    </row>
    <row r="488" spans="1:8" ht="15.75" x14ac:dyDescent="0.25">
      <c r="A488" s="4">
        <v>90000337</v>
      </c>
      <c r="B488" s="4" t="s">
        <v>93</v>
      </c>
      <c r="C488" s="5" t="s">
        <v>1717</v>
      </c>
      <c r="D488" s="6" t="s">
        <v>89</v>
      </c>
      <c r="E488" s="9" t="s">
        <v>541</v>
      </c>
      <c r="F488" s="10" t="s">
        <v>541</v>
      </c>
      <c r="G488" s="6"/>
      <c r="H488" s="5" t="s">
        <v>964</v>
      </c>
    </row>
    <row r="489" spans="1:8" ht="15.75" x14ac:dyDescent="0.25">
      <c r="A489" s="4">
        <v>90000338</v>
      </c>
      <c r="B489" s="4" t="s">
        <v>93</v>
      </c>
      <c r="C489" s="5" t="s">
        <v>1718</v>
      </c>
      <c r="D489" s="6" t="s">
        <v>89</v>
      </c>
      <c r="E489" s="9" t="s">
        <v>541</v>
      </c>
      <c r="F489" s="10" t="s">
        <v>541</v>
      </c>
      <c r="G489" s="6"/>
      <c r="H489" s="5" t="s">
        <v>965</v>
      </c>
    </row>
    <row r="490" spans="1:8" ht="15.75" x14ac:dyDescent="0.25">
      <c r="A490" s="4">
        <v>90000339</v>
      </c>
      <c r="B490" s="4" t="s">
        <v>93</v>
      </c>
      <c r="C490" s="5" t="s">
        <v>1719</v>
      </c>
      <c r="D490" s="6" t="s">
        <v>89</v>
      </c>
      <c r="E490" s="9" t="s">
        <v>541</v>
      </c>
      <c r="F490" s="10" t="s">
        <v>541</v>
      </c>
      <c r="G490" s="6"/>
      <c r="H490" s="5" t="s">
        <v>966</v>
      </c>
    </row>
    <row r="491" spans="1:8" ht="15.75" x14ac:dyDescent="0.25">
      <c r="A491" s="4">
        <v>90000340</v>
      </c>
      <c r="B491" s="4" t="s">
        <v>93</v>
      </c>
      <c r="C491" s="5" t="s">
        <v>1720</v>
      </c>
      <c r="D491" s="6" t="s">
        <v>89</v>
      </c>
      <c r="E491" s="9" t="s">
        <v>541</v>
      </c>
      <c r="F491" s="10" t="s">
        <v>541</v>
      </c>
      <c r="G491" s="6"/>
      <c r="H491" s="5" t="s">
        <v>967</v>
      </c>
    </row>
    <row r="492" spans="1:8" ht="15.75" x14ac:dyDescent="0.25">
      <c r="A492" s="4">
        <v>90000341</v>
      </c>
      <c r="B492" s="4" t="s">
        <v>93</v>
      </c>
      <c r="C492" s="5" t="s">
        <v>1721</v>
      </c>
      <c r="D492" s="6" t="s">
        <v>89</v>
      </c>
      <c r="E492" s="9" t="s">
        <v>541</v>
      </c>
      <c r="F492" s="10" t="s">
        <v>541</v>
      </c>
      <c r="G492" s="6"/>
      <c r="H492" s="5" t="s">
        <v>968</v>
      </c>
    </row>
    <row r="493" spans="1:8" ht="15.75" x14ac:dyDescent="0.25">
      <c r="A493" s="4">
        <v>90000342</v>
      </c>
      <c r="B493" s="4" t="s">
        <v>93</v>
      </c>
      <c r="C493" s="5" t="s">
        <v>1722</v>
      </c>
      <c r="D493" s="6" t="s">
        <v>89</v>
      </c>
      <c r="E493" s="9" t="s">
        <v>541</v>
      </c>
      <c r="F493" s="10" t="s">
        <v>541</v>
      </c>
      <c r="G493" s="6"/>
      <c r="H493" s="5" t="s">
        <v>969</v>
      </c>
    </row>
    <row r="494" spans="1:8" ht="15.75" x14ac:dyDescent="0.25">
      <c r="A494" s="4">
        <v>90000344</v>
      </c>
      <c r="B494" s="4" t="s">
        <v>93</v>
      </c>
      <c r="C494" s="5" t="s">
        <v>2097</v>
      </c>
      <c r="D494" s="6" t="s">
        <v>89</v>
      </c>
      <c r="E494" s="9" t="s">
        <v>541</v>
      </c>
      <c r="F494" s="10" t="s">
        <v>541</v>
      </c>
      <c r="G494" s="6"/>
      <c r="H494" s="5" t="s">
        <v>586</v>
      </c>
    </row>
    <row r="495" spans="1:8" ht="15.75" x14ac:dyDescent="0.25">
      <c r="A495" s="4">
        <v>90000345</v>
      </c>
      <c r="B495" s="4" t="s">
        <v>93</v>
      </c>
      <c r="C495" s="5" t="s">
        <v>2098</v>
      </c>
      <c r="D495" s="6" t="s">
        <v>89</v>
      </c>
      <c r="E495" s="9" t="s">
        <v>541</v>
      </c>
      <c r="F495" s="10" t="s">
        <v>541</v>
      </c>
      <c r="G495" s="6"/>
      <c r="H495" s="5" t="s">
        <v>587</v>
      </c>
    </row>
    <row r="496" spans="1:8" ht="15.75" x14ac:dyDescent="0.25">
      <c r="A496" s="4">
        <v>90000385</v>
      </c>
      <c r="B496" s="4" t="s">
        <v>93</v>
      </c>
      <c r="C496" s="5" t="s">
        <v>1723</v>
      </c>
      <c r="D496" s="6" t="s">
        <v>89</v>
      </c>
      <c r="E496" s="9" t="s">
        <v>541</v>
      </c>
      <c r="F496" s="10" t="s">
        <v>541</v>
      </c>
      <c r="G496" s="6"/>
      <c r="H496" s="5" t="s">
        <v>970</v>
      </c>
    </row>
    <row r="497" spans="1:8" ht="15.75" x14ac:dyDescent="0.25">
      <c r="A497" s="4">
        <v>90000386</v>
      </c>
      <c r="B497" s="4" t="s">
        <v>93</v>
      </c>
      <c r="C497" s="5" t="s">
        <v>1724</v>
      </c>
      <c r="D497" s="6" t="s">
        <v>89</v>
      </c>
      <c r="E497" s="9" t="s">
        <v>541</v>
      </c>
      <c r="F497" s="10" t="s">
        <v>541</v>
      </c>
      <c r="G497" s="6"/>
      <c r="H497" s="5" t="s">
        <v>971</v>
      </c>
    </row>
    <row r="498" spans="1:8" ht="15.75" x14ac:dyDescent="0.25">
      <c r="A498" s="4">
        <v>90000387</v>
      </c>
      <c r="B498" s="4" t="s">
        <v>93</v>
      </c>
      <c r="C498" s="5" t="s">
        <v>1725</v>
      </c>
      <c r="D498" s="6" t="s">
        <v>89</v>
      </c>
      <c r="E498" s="9" t="s">
        <v>541</v>
      </c>
      <c r="F498" s="10" t="s">
        <v>541</v>
      </c>
      <c r="G498" s="6"/>
      <c r="H498" s="5" t="s">
        <v>972</v>
      </c>
    </row>
    <row r="499" spans="1:8" ht="15.75" x14ac:dyDescent="0.25">
      <c r="A499" s="4">
        <v>90000388</v>
      </c>
      <c r="B499" s="4" t="s">
        <v>93</v>
      </c>
      <c r="C499" s="5" t="s">
        <v>1726</v>
      </c>
      <c r="D499" s="6" t="s">
        <v>89</v>
      </c>
      <c r="E499" s="9" t="s">
        <v>541</v>
      </c>
      <c r="F499" s="10" t="s">
        <v>541</v>
      </c>
      <c r="G499" s="6"/>
      <c r="H499" s="5" t="s">
        <v>973</v>
      </c>
    </row>
    <row r="500" spans="1:8" ht="15.75" x14ac:dyDescent="0.25">
      <c r="A500" s="4">
        <v>90000389</v>
      </c>
      <c r="B500" s="4" t="s">
        <v>93</v>
      </c>
      <c r="C500" s="5" t="s">
        <v>1727</v>
      </c>
      <c r="D500" s="6" t="s">
        <v>89</v>
      </c>
      <c r="E500" s="9" t="s">
        <v>541</v>
      </c>
      <c r="F500" s="10" t="s">
        <v>541</v>
      </c>
      <c r="G500" s="6"/>
      <c r="H500" s="5" t="s">
        <v>974</v>
      </c>
    </row>
    <row r="501" spans="1:8" ht="15.75" x14ac:dyDescent="0.25">
      <c r="A501" s="4">
        <v>90000390</v>
      </c>
      <c r="B501" s="4" t="s">
        <v>93</v>
      </c>
      <c r="C501" s="5" t="s">
        <v>2099</v>
      </c>
      <c r="D501" s="6" t="s">
        <v>89</v>
      </c>
      <c r="E501" s="9" t="s">
        <v>541</v>
      </c>
      <c r="F501" s="10" t="s">
        <v>541</v>
      </c>
      <c r="G501" s="6"/>
      <c r="H501" s="5" t="s">
        <v>588</v>
      </c>
    </row>
    <row r="502" spans="1:8" ht="15.75" x14ac:dyDescent="0.25">
      <c r="A502" s="4">
        <v>90000391</v>
      </c>
      <c r="B502" s="4" t="s">
        <v>93</v>
      </c>
      <c r="C502" s="5" t="s">
        <v>1728</v>
      </c>
      <c r="D502" s="6" t="s">
        <v>89</v>
      </c>
      <c r="E502" s="9" t="s">
        <v>541</v>
      </c>
      <c r="F502" s="10" t="s">
        <v>541</v>
      </c>
      <c r="G502" s="6"/>
      <c r="H502" s="5" t="s">
        <v>975</v>
      </c>
    </row>
    <row r="503" spans="1:8" ht="15.75" x14ac:dyDescent="0.25">
      <c r="A503" s="4">
        <v>90000392</v>
      </c>
      <c r="B503" s="4" t="s">
        <v>93</v>
      </c>
      <c r="C503" s="5" t="s">
        <v>1729</v>
      </c>
      <c r="D503" s="6" t="s">
        <v>89</v>
      </c>
      <c r="E503" s="9" t="s">
        <v>541</v>
      </c>
      <c r="F503" s="10" t="s">
        <v>541</v>
      </c>
      <c r="G503" s="6"/>
      <c r="H503" s="5" t="s">
        <v>976</v>
      </c>
    </row>
    <row r="504" spans="1:8" ht="15.75" x14ac:dyDescent="0.25">
      <c r="A504" s="4">
        <v>90000393</v>
      </c>
      <c r="B504" s="4" t="s">
        <v>93</v>
      </c>
      <c r="C504" s="5" t="s">
        <v>2100</v>
      </c>
      <c r="D504" s="6" t="s">
        <v>89</v>
      </c>
      <c r="E504" s="9" t="s">
        <v>541</v>
      </c>
      <c r="F504" s="10" t="s">
        <v>541</v>
      </c>
      <c r="G504" s="6"/>
      <c r="H504" s="5" t="s">
        <v>589</v>
      </c>
    </row>
    <row r="505" spans="1:8" ht="15.75" x14ac:dyDescent="0.25">
      <c r="A505" s="4">
        <v>90000397</v>
      </c>
      <c r="B505" s="4" t="s">
        <v>93</v>
      </c>
      <c r="C505" s="5" t="s">
        <v>1730</v>
      </c>
      <c r="D505" s="6" t="s">
        <v>89</v>
      </c>
      <c r="E505" s="9" t="s">
        <v>541</v>
      </c>
      <c r="F505" s="10" t="s">
        <v>541</v>
      </c>
      <c r="G505" s="6"/>
      <c r="H505" s="5" t="s">
        <v>977</v>
      </c>
    </row>
    <row r="506" spans="1:8" ht="15.75" x14ac:dyDescent="0.25">
      <c r="A506" s="4">
        <v>90000399</v>
      </c>
      <c r="B506" s="4" t="s">
        <v>93</v>
      </c>
      <c r="C506" s="5" t="s">
        <v>1731</v>
      </c>
      <c r="D506" s="6" t="s">
        <v>89</v>
      </c>
      <c r="E506" s="9" t="s">
        <v>541</v>
      </c>
      <c r="F506" s="10" t="s">
        <v>541</v>
      </c>
      <c r="G506" s="6"/>
      <c r="H506" s="5" t="s">
        <v>978</v>
      </c>
    </row>
    <row r="507" spans="1:8" ht="15.75" x14ac:dyDescent="0.25">
      <c r="A507" s="4">
        <v>90000400</v>
      </c>
      <c r="B507" s="4" t="s">
        <v>93</v>
      </c>
      <c r="C507" s="5" t="s">
        <v>2101</v>
      </c>
      <c r="D507" s="6" t="s">
        <v>89</v>
      </c>
      <c r="E507" s="9" t="s">
        <v>541</v>
      </c>
      <c r="F507" s="10" t="s">
        <v>541</v>
      </c>
      <c r="G507" s="6"/>
      <c r="H507" s="5" t="s">
        <v>590</v>
      </c>
    </row>
    <row r="508" spans="1:8" ht="15.75" x14ac:dyDescent="0.25">
      <c r="A508" s="4">
        <v>90000401</v>
      </c>
      <c r="B508" s="4" t="s">
        <v>93</v>
      </c>
      <c r="C508" s="5" t="s">
        <v>2102</v>
      </c>
      <c r="D508" s="6" t="s">
        <v>89</v>
      </c>
      <c r="E508" s="9" t="s">
        <v>541</v>
      </c>
      <c r="F508" s="10" t="s">
        <v>541</v>
      </c>
      <c r="G508" s="6"/>
      <c r="H508" s="5" t="s">
        <v>591</v>
      </c>
    </row>
    <row r="509" spans="1:8" ht="15.75" x14ac:dyDescent="0.25">
      <c r="A509" s="4">
        <v>90000528</v>
      </c>
      <c r="B509" s="4" t="s">
        <v>93</v>
      </c>
      <c r="C509" s="5" t="s">
        <v>2103</v>
      </c>
      <c r="D509" s="6" t="s">
        <v>89</v>
      </c>
      <c r="E509" s="9" t="s">
        <v>541</v>
      </c>
      <c r="F509" s="10" t="s">
        <v>541</v>
      </c>
      <c r="G509" s="6"/>
      <c r="H509" s="5" t="s">
        <v>592</v>
      </c>
    </row>
    <row r="510" spans="1:8" ht="15.75" x14ac:dyDescent="0.25">
      <c r="A510" s="4">
        <v>90000530</v>
      </c>
      <c r="B510" s="4" t="s">
        <v>93</v>
      </c>
      <c r="C510" s="5" t="s">
        <v>1732</v>
      </c>
      <c r="D510" s="6" t="s">
        <v>89</v>
      </c>
      <c r="E510" s="9" t="s">
        <v>541</v>
      </c>
      <c r="F510" s="10" t="s">
        <v>541</v>
      </c>
      <c r="G510" s="6"/>
      <c r="H510" s="5" t="s">
        <v>979</v>
      </c>
    </row>
    <row r="511" spans="1:8" ht="15.75" x14ac:dyDescent="0.25">
      <c r="A511" s="4">
        <v>90000531</v>
      </c>
      <c r="B511" s="4" t="s">
        <v>93</v>
      </c>
      <c r="C511" s="5" t="s">
        <v>1733</v>
      </c>
      <c r="D511" s="6" t="s">
        <v>89</v>
      </c>
      <c r="E511" s="9" t="s">
        <v>541</v>
      </c>
      <c r="F511" s="10" t="s">
        <v>541</v>
      </c>
      <c r="G511" s="6"/>
      <c r="H511" s="5" t="s">
        <v>980</v>
      </c>
    </row>
    <row r="512" spans="1:8" ht="15.75" x14ac:dyDescent="0.25">
      <c r="A512" s="4">
        <v>90000533</v>
      </c>
      <c r="B512" s="4" t="s">
        <v>93</v>
      </c>
      <c r="C512" s="5" t="s">
        <v>1734</v>
      </c>
      <c r="D512" s="6" t="s">
        <v>89</v>
      </c>
      <c r="E512" s="9" t="s">
        <v>541</v>
      </c>
      <c r="F512" s="10" t="s">
        <v>541</v>
      </c>
      <c r="G512" s="6"/>
      <c r="H512" s="5" t="s">
        <v>981</v>
      </c>
    </row>
    <row r="513" spans="1:8" ht="15.75" x14ac:dyDescent="0.25">
      <c r="A513" s="4">
        <v>90000547</v>
      </c>
      <c r="B513" s="4" t="s">
        <v>93</v>
      </c>
      <c r="C513" s="5" t="s">
        <v>1735</v>
      </c>
      <c r="D513" s="6" t="s">
        <v>89</v>
      </c>
      <c r="E513" s="9" t="s">
        <v>541</v>
      </c>
      <c r="F513" s="10" t="s">
        <v>541</v>
      </c>
      <c r="G513" s="6"/>
      <c r="H513" s="5" t="s">
        <v>982</v>
      </c>
    </row>
    <row r="514" spans="1:8" ht="15.75" x14ac:dyDescent="0.25">
      <c r="A514" s="4">
        <v>90000548</v>
      </c>
      <c r="B514" s="4" t="s">
        <v>93</v>
      </c>
      <c r="C514" s="5" t="s">
        <v>2104</v>
      </c>
      <c r="D514" s="6" t="s">
        <v>89</v>
      </c>
      <c r="E514" s="9" t="s">
        <v>541</v>
      </c>
      <c r="F514" s="10" t="s">
        <v>541</v>
      </c>
      <c r="G514" s="6"/>
      <c r="H514" s="5" t="s">
        <v>593</v>
      </c>
    </row>
    <row r="515" spans="1:8" ht="15.75" x14ac:dyDescent="0.25">
      <c r="A515" s="4">
        <v>90000549</v>
      </c>
      <c r="B515" s="4" t="s">
        <v>93</v>
      </c>
      <c r="C515" s="5" t="s">
        <v>1736</v>
      </c>
      <c r="D515" s="6" t="s">
        <v>89</v>
      </c>
      <c r="E515" s="9" t="s">
        <v>541</v>
      </c>
      <c r="F515" s="10" t="s">
        <v>541</v>
      </c>
      <c r="G515" s="6"/>
      <c r="H515" s="5" t="s">
        <v>983</v>
      </c>
    </row>
    <row r="516" spans="1:8" ht="15.75" x14ac:dyDescent="0.25">
      <c r="A516" s="4">
        <v>90001063</v>
      </c>
      <c r="B516" s="4" t="s">
        <v>93</v>
      </c>
      <c r="C516" s="5" t="s">
        <v>1737</v>
      </c>
      <c r="D516" s="6" t="s">
        <v>89</v>
      </c>
      <c r="E516" s="9" t="s">
        <v>541</v>
      </c>
      <c r="F516" s="10" t="s">
        <v>541</v>
      </c>
      <c r="G516" s="6"/>
      <c r="H516" s="5" t="s">
        <v>984</v>
      </c>
    </row>
    <row r="517" spans="1:8" ht="15.75" x14ac:dyDescent="0.25">
      <c r="A517" s="4">
        <v>90001064</v>
      </c>
      <c r="B517" s="4" t="s">
        <v>93</v>
      </c>
      <c r="C517" s="5" t="s">
        <v>1738</v>
      </c>
      <c r="D517" s="6" t="s">
        <v>89</v>
      </c>
      <c r="E517" s="9" t="s">
        <v>541</v>
      </c>
      <c r="F517" s="10" t="s">
        <v>541</v>
      </c>
      <c r="G517" s="6"/>
      <c r="H517" s="5" t="s">
        <v>985</v>
      </c>
    </row>
    <row r="518" spans="1:8" ht="15.75" x14ac:dyDescent="0.25">
      <c r="A518" s="4">
        <v>90001065</v>
      </c>
      <c r="B518" s="4" t="s">
        <v>93</v>
      </c>
      <c r="C518" s="5" t="s">
        <v>1739</v>
      </c>
      <c r="D518" s="6" t="s">
        <v>89</v>
      </c>
      <c r="E518" s="9" t="s">
        <v>541</v>
      </c>
      <c r="F518" s="10" t="s">
        <v>541</v>
      </c>
      <c r="G518" s="6"/>
      <c r="H518" s="5" t="s">
        <v>986</v>
      </c>
    </row>
    <row r="519" spans="1:8" ht="15.75" x14ac:dyDescent="0.25">
      <c r="A519" s="4">
        <v>90001066</v>
      </c>
      <c r="B519" s="4" t="s">
        <v>93</v>
      </c>
      <c r="C519" s="5" t="s">
        <v>1740</v>
      </c>
      <c r="D519" s="6" t="s">
        <v>89</v>
      </c>
      <c r="E519" s="9" t="s">
        <v>541</v>
      </c>
      <c r="F519" s="10" t="s">
        <v>541</v>
      </c>
      <c r="G519" s="6"/>
      <c r="H519" s="5" t="s">
        <v>987</v>
      </c>
    </row>
    <row r="520" spans="1:8" ht="15.75" x14ac:dyDescent="0.25">
      <c r="A520" s="4">
        <v>90001067</v>
      </c>
      <c r="B520" s="4" t="s">
        <v>93</v>
      </c>
      <c r="C520" s="5" t="s">
        <v>1741</v>
      </c>
      <c r="D520" s="6" t="s">
        <v>89</v>
      </c>
      <c r="E520" s="9" t="s">
        <v>541</v>
      </c>
      <c r="F520" s="10" t="s">
        <v>541</v>
      </c>
      <c r="G520" s="6"/>
      <c r="H520" s="5" t="s">
        <v>988</v>
      </c>
    </row>
    <row r="521" spans="1:8" ht="15.75" x14ac:dyDescent="0.25">
      <c r="A521" s="4">
        <v>90001072</v>
      </c>
      <c r="B521" s="4" t="s">
        <v>93</v>
      </c>
      <c r="C521" s="5" t="s">
        <v>1742</v>
      </c>
      <c r="D521" s="6" t="s">
        <v>89</v>
      </c>
      <c r="E521" s="9" t="s">
        <v>541</v>
      </c>
      <c r="F521" s="10" t="s">
        <v>541</v>
      </c>
      <c r="G521" s="6"/>
      <c r="H521" s="5" t="s">
        <v>989</v>
      </c>
    </row>
    <row r="522" spans="1:8" ht="15.75" x14ac:dyDescent="0.25">
      <c r="A522" s="4">
        <v>90001073</v>
      </c>
      <c r="B522" s="4" t="s">
        <v>93</v>
      </c>
      <c r="C522" s="5" t="s">
        <v>1743</v>
      </c>
      <c r="D522" s="6" t="s">
        <v>89</v>
      </c>
      <c r="E522" s="9" t="s">
        <v>541</v>
      </c>
      <c r="F522" s="10" t="s">
        <v>541</v>
      </c>
      <c r="G522" s="6"/>
      <c r="H522" s="5" t="s">
        <v>990</v>
      </c>
    </row>
    <row r="523" spans="1:8" ht="15.75" x14ac:dyDescent="0.25">
      <c r="A523" s="4">
        <v>90001349</v>
      </c>
      <c r="B523" s="4" t="s">
        <v>93</v>
      </c>
      <c r="C523" s="5" t="s">
        <v>1744</v>
      </c>
      <c r="D523" s="6" t="s">
        <v>89</v>
      </c>
      <c r="E523" s="9" t="s">
        <v>541</v>
      </c>
      <c r="F523" s="10" t="s">
        <v>541</v>
      </c>
      <c r="G523" s="6"/>
      <c r="H523" s="5" t="s">
        <v>991</v>
      </c>
    </row>
    <row r="524" spans="1:8" ht="15.75" x14ac:dyDescent="0.25">
      <c r="A524" s="4">
        <v>90001358</v>
      </c>
      <c r="B524" s="4" t="s">
        <v>93</v>
      </c>
      <c r="C524" s="5" t="s">
        <v>1745</v>
      </c>
      <c r="D524" s="6" t="s">
        <v>89</v>
      </c>
      <c r="E524" s="9" t="s">
        <v>541</v>
      </c>
      <c r="F524" s="10" t="s">
        <v>541</v>
      </c>
      <c r="G524" s="6"/>
      <c r="H524" s="5" t="s">
        <v>992</v>
      </c>
    </row>
    <row r="525" spans="1:8" ht="15.75" x14ac:dyDescent="0.25">
      <c r="A525" s="4">
        <v>90001363</v>
      </c>
      <c r="B525" s="4" t="s">
        <v>93</v>
      </c>
      <c r="C525" s="5" t="s">
        <v>2105</v>
      </c>
      <c r="D525" s="6" t="s">
        <v>89</v>
      </c>
      <c r="E525" s="9" t="s">
        <v>541</v>
      </c>
      <c r="F525" s="10" t="s">
        <v>541</v>
      </c>
      <c r="G525" s="6"/>
      <c r="H525" s="5" t="s">
        <v>594</v>
      </c>
    </row>
    <row r="526" spans="1:8" ht="15.75" x14ac:dyDescent="0.25">
      <c r="A526" s="4">
        <v>90001368</v>
      </c>
      <c r="B526" s="4" t="s">
        <v>93</v>
      </c>
      <c r="C526" s="5" t="s">
        <v>2106</v>
      </c>
      <c r="D526" s="6" t="s">
        <v>89</v>
      </c>
      <c r="E526" s="9" t="s">
        <v>541</v>
      </c>
      <c r="F526" s="10" t="s">
        <v>541</v>
      </c>
      <c r="G526" s="6"/>
      <c r="H526" s="5" t="s">
        <v>595</v>
      </c>
    </row>
    <row r="527" spans="1:8" ht="15.75" x14ac:dyDescent="0.25">
      <c r="A527" s="4">
        <v>90001370</v>
      </c>
      <c r="B527" s="4" t="s">
        <v>93</v>
      </c>
      <c r="C527" s="5" t="s">
        <v>2107</v>
      </c>
      <c r="D527" s="6" t="s">
        <v>89</v>
      </c>
      <c r="E527" s="9" t="s">
        <v>541</v>
      </c>
      <c r="F527" s="10" t="s">
        <v>541</v>
      </c>
      <c r="G527" s="6"/>
      <c r="H527" s="5" t="s">
        <v>596</v>
      </c>
    </row>
    <row r="528" spans="1:8" ht="15.75" x14ac:dyDescent="0.25">
      <c r="A528" s="4">
        <v>90001403</v>
      </c>
      <c r="B528" s="4" t="s">
        <v>93</v>
      </c>
      <c r="C528" s="5" t="s">
        <v>2108</v>
      </c>
      <c r="D528" s="6" t="s">
        <v>89</v>
      </c>
      <c r="E528" s="9" t="s">
        <v>541</v>
      </c>
      <c r="F528" s="10" t="s">
        <v>541</v>
      </c>
      <c r="G528" s="6"/>
      <c r="H528" s="5" t="s">
        <v>597</v>
      </c>
    </row>
    <row r="529" spans="1:8" ht="15.75" x14ac:dyDescent="0.25">
      <c r="A529" s="4">
        <v>90001409</v>
      </c>
      <c r="B529" s="4" t="s">
        <v>93</v>
      </c>
      <c r="C529" s="5" t="s">
        <v>2109</v>
      </c>
      <c r="D529" s="6" t="s">
        <v>89</v>
      </c>
      <c r="E529" s="9" t="s">
        <v>541</v>
      </c>
      <c r="F529" s="10" t="s">
        <v>541</v>
      </c>
      <c r="G529" s="6"/>
      <c r="H529" s="5" t="s">
        <v>598</v>
      </c>
    </row>
    <row r="530" spans="1:8" ht="15.75" x14ac:dyDescent="0.25">
      <c r="A530" s="4">
        <v>90001414</v>
      </c>
      <c r="B530" s="4" t="s">
        <v>93</v>
      </c>
      <c r="C530" s="5" t="s">
        <v>1746</v>
      </c>
      <c r="D530" s="6" t="s">
        <v>89</v>
      </c>
      <c r="E530" s="9" t="s">
        <v>541</v>
      </c>
      <c r="F530" s="10" t="s">
        <v>541</v>
      </c>
      <c r="G530" s="6"/>
      <c r="H530" s="5" t="s">
        <v>993</v>
      </c>
    </row>
    <row r="531" spans="1:8" ht="15.75" x14ac:dyDescent="0.25">
      <c r="A531" s="4">
        <v>90001418</v>
      </c>
      <c r="B531" s="4" t="s">
        <v>93</v>
      </c>
      <c r="C531" s="5" t="s">
        <v>1747</v>
      </c>
      <c r="D531" s="6" t="s">
        <v>89</v>
      </c>
      <c r="E531" s="9" t="s">
        <v>541</v>
      </c>
      <c r="F531" s="10" t="s">
        <v>541</v>
      </c>
      <c r="G531" s="6"/>
      <c r="H531" s="5" t="s">
        <v>994</v>
      </c>
    </row>
    <row r="532" spans="1:8" ht="15.75" x14ac:dyDescent="0.25">
      <c r="A532" s="4">
        <v>90001439</v>
      </c>
      <c r="B532" s="4" t="s">
        <v>93</v>
      </c>
      <c r="C532" s="5" t="s">
        <v>1748</v>
      </c>
      <c r="D532" s="6" t="s">
        <v>89</v>
      </c>
      <c r="E532" s="9" t="s">
        <v>541</v>
      </c>
      <c r="F532" s="10" t="s">
        <v>541</v>
      </c>
      <c r="G532" s="6"/>
      <c r="H532" s="5" t="s">
        <v>995</v>
      </c>
    </row>
    <row r="533" spans="1:8" ht="15.75" x14ac:dyDescent="0.25">
      <c r="A533" s="4">
        <v>90001443</v>
      </c>
      <c r="B533" s="4" t="s">
        <v>93</v>
      </c>
      <c r="C533" s="5" t="s">
        <v>1749</v>
      </c>
      <c r="D533" s="6" t="s">
        <v>89</v>
      </c>
      <c r="E533" s="9" t="s">
        <v>541</v>
      </c>
      <c r="F533" s="10" t="s">
        <v>541</v>
      </c>
      <c r="G533" s="6"/>
      <c r="H533" s="5" t="s">
        <v>996</v>
      </c>
    </row>
    <row r="534" spans="1:8" ht="15.75" x14ac:dyDescent="0.25">
      <c r="A534" s="4">
        <v>90001457</v>
      </c>
      <c r="B534" s="4" t="s">
        <v>93</v>
      </c>
      <c r="C534" s="5" t="s">
        <v>1750</v>
      </c>
      <c r="D534" s="6" t="s">
        <v>89</v>
      </c>
      <c r="E534" s="9" t="s">
        <v>541</v>
      </c>
      <c r="F534" s="10" t="s">
        <v>541</v>
      </c>
      <c r="G534" s="6"/>
      <c r="H534" s="5" t="s">
        <v>997</v>
      </c>
    </row>
    <row r="535" spans="1:8" ht="15.75" x14ac:dyDescent="0.25">
      <c r="A535" s="4">
        <v>90001526</v>
      </c>
      <c r="B535" s="4" t="s">
        <v>93</v>
      </c>
      <c r="C535" s="5" t="s">
        <v>1751</v>
      </c>
      <c r="D535" s="6" t="s">
        <v>89</v>
      </c>
      <c r="E535" s="9" t="s">
        <v>541</v>
      </c>
      <c r="F535" s="10" t="s">
        <v>541</v>
      </c>
      <c r="G535" s="6"/>
      <c r="H535" s="5" t="s">
        <v>998</v>
      </c>
    </row>
    <row r="536" spans="1:8" ht="15.75" x14ac:dyDescent="0.25">
      <c r="A536" s="4">
        <v>90001527</v>
      </c>
      <c r="B536" s="4" t="s">
        <v>93</v>
      </c>
      <c r="C536" s="5" t="s">
        <v>1752</v>
      </c>
      <c r="D536" s="6" t="s">
        <v>89</v>
      </c>
      <c r="E536" s="9" t="s">
        <v>541</v>
      </c>
      <c r="F536" s="10" t="s">
        <v>541</v>
      </c>
      <c r="G536" s="6"/>
      <c r="H536" s="5" t="s">
        <v>999</v>
      </c>
    </row>
    <row r="537" spans="1:8" ht="15.75" x14ac:dyDescent="0.25">
      <c r="A537" s="4">
        <v>90001528</v>
      </c>
      <c r="B537" s="4" t="s">
        <v>93</v>
      </c>
      <c r="C537" s="5" t="s">
        <v>1753</v>
      </c>
      <c r="D537" s="6" t="s">
        <v>89</v>
      </c>
      <c r="E537" s="9" t="s">
        <v>541</v>
      </c>
      <c r="F537" s="10" t="s">
        <v>541</v>
      </c>
      <c r="G537" s="6"/>
      <c r="H537" s="5" t="s">
        <v>1000</v>
      </c>
    </row>
    <row r="538" spans="1:8" ht="15.75" x14ac:dyDescent="0.25">
      <c r="A538" s="4">
        <v>90001529</v>
      </c>
      <c r="B538" s="4" t="s">
        <v>93</v>
      </c>
      <c r="C538" s="5" t="s">
        <v>1754</v>
      </c>
      <c r="D538" s="6" t="s">
        <v>89</v>
      </c>
      <c r="E538" s="9" t="s">
        <v>541</v>
      </c>
      <c r="F538" s="10" t="s">
        <v>541</v>
      </c>
      <c r="G538" s="6"/>
      <c r="H538" s="5" t="s">
        <v>1001</v>
      </c>
    </row>
    <row r="539" spans="1:8" ht="15.75" x14ac:dyDescent="0.25">
      <c r="A539" s="4">
        <v>90001545</v>
      </c>
      <c r="B539" s="4" t="s">
        <v>93</v>
      </c>
      <c r="C539" s="5" t="s">
        <v>2110</v>
      </c>
      <c r="D539" s="6" t="s">
        <v>89</v>
      </c>
      <c r="E539" s="9" t="s">
        <v>541</v>
      </c>
      <c r="F539" s="10" t="s">
        <v>541</v>
      </c>
      <c r="G539" s="6"/>
      <c r="H539" s="5" t="s">
        <v>599</v>
      </c>
    </row>
    <row r="540" spans="1:8" ht="15.75" x14ac:dyDescent="0.25">
      <c r="A540" s="4">
        <v>90001546</v>
      </c>
      <c r="B540" s="4" t="s">
        <v>93</v>
      </c>
      <c r="C540" s="5" t="s">
        <v>1755</v>
      </c>
      <c r="D540" s="6" t="s">
        <v>89</v>
      </c>
      <c r="E540" s="9" t="s">
        <v>541</v>
      </c>
      <c r="F540" s="10" t="s">
        <v>541</v>
      </c>
      <c r="G540" s="6"/>
      <c r="H540" s="5" t="s">
        <v>1002</v>
      </c>
    </row>
    <row r="541" spans="1:8" ht="15.75" x14ac:dyDescent="0.25">
      <c r="A541" s="4">
        <v>90001566</v>
      </c>
      <c r="B541" s="4" t="s">
        <v>93</v>
      </c>
      <c r="C541" s="5" t="s">
        <v>1756</v>
      </c>
      <c r="D541" s="6" t="s">
        <v>89</v>
      </c>
      <c r="E541" s="9" t="s">
        <v>541</v>
      </c>
      <c r="F541" s="10" t="s">
        <v>541</v>
      </c>
      <c r="G541" s="6"/>
      <c r="H541" s="5" t="s">
        <v>1003</v>
      </c>
    </row>
    <row r="542" spans="1:8" ht="15.75" x14ac:dyDescent="0.25">
      <c r="A542" s="4">
        <v>90001567</v>
      </c>
      <c r="B542" s="4" t="s">
        <v>93</v>
      </c>
      <c r="C542" s="5" t="s">
        <v>2111</v>
      </c>
      <c r="D542" s="6" t="s">
        <v>89</v>
      </c>
      <c r="E542" s="9" t="s">
        <v>541</v>
      </c>
      <c r="F542" s="10" t="s">
        <v>541</v>
      </c>
      <c r="G542" s="6"/>
      <c r="H542" s="5" t="s">
        <v>600</v>
      </c>
    </row>
    <row r="543" spans="1:8" ht="15.75" x14ac:dyDescent="0.25">
      <c r="A543" s="4">
        <v>90001568</v>
      </c>
      <c r="B543" s="4" t="s">
        <v>93</v>
      </c>
      <c r="C543" s="5" t="s">
        <v>1757</v>
      </c>
      <c r="D543" s="6" t="s">
        <v>89</v>
      </c>
      <c r="E543" s="9" t="s">
        <v>541</v>
      </c>
      <c r="F543" s="10" t="s">
        <v>541</v>
      </c>
      <c r="G543" s="6"/>
      <c r="H543" s="5" t="s">
        <v>1004</v>
      </c>
    </row>
    <row r="544" spans="1:8" ht="15.75" x14ac:dyDescent="0.25">
      <c r="A544" s="4">
        <v>90001569</v>
      </c>
      <c r="B544" s="4" t="s">
        <v>93</v>
      </c>
      <c r="C544" s="5" t="s">
        <v>2112</v>
      </c>
      <c r="D544" s="6" t="s">
        <v>89</v>
      </c>
      <c r="E544" s="9" t="s">
        <v>541</v>
      </c>
      <c r="F544" s="10" t="s">
        <v>541</v>
      </c>
      <c r="G544" s="6"/>
      <c r="H544" s="5" t="s">
        <v>601</v>
      </c>
    </row>
    <row r="545" spans="1:8" ht="15.75" x14ac:dyDescent="0.25">
      <c r="A545" s="4">
        <v>90001580</v>
      </c>
      <c r="B545" s="4" t="s">
        <v>93</v>
      </c>
      <c r="C545" s="5" t="s">
        <v>1758</v>
      </c>
      <c r="D545" s="6" t="s">
        <v>89</v>
      </c>
      <c r="E545" s="9" t="s">
        <v>541</v>
      </c>
      <c r="F545" s="10" t="s">
        <v>541</v>
      </c>
      <c r="G545" s="6"/>
      <c r="H545" s="5" t="s">
        <v>1005</v>
      </c>
    </row>
    <row r="546" spans="1:8" ht="15.75" x14ac:dyDescent="0.25">
      <c r="A546" s="4">
        <v>90001609</v>
      </c>
      <c r="B546" s="4" t="s">
        <v>93</v>
      </c>
      <c r="C546" s="5" t="s">
        <v>2113</v>
      </c>
      <c r="D546" s="6" t="s">
        <v>89</v>
      </c>
      <c r="E546" s="9" t="s">
        <v>541</v>
      </c>
      <c r="F546" s="10" t="s">
        <v>541</v>
      </c>
      <c r="G546" s="6"/>
      <c r="H546" s="5" t="s">
        <v>602</v>
      </c>
    </row>
    <row r="547" spans="1:8" ht="15.75" x14ac:dyDescent="0.25">
      <c r="A547" s="4">
        <v>90001660</v>
      </c>
      <c r="B547" s="4" t="s">
        <v>93</v>
      </c>
      <c r="C547" s="5" t="s">
        <v>1759</v>
      </c>
      <c r="D547" s="6" t="s">
        <v>89</v>
      </c>
      <c r="E547" s="9" t="s">
        <v>541</v>
      </c>
      <c r="F547" s="10" t="s">
        <v>541</v>
      </c>
      <c r="G547" s="6"/>
      <c r="H547" s="5" t="s">
        <v>1006</v>
      </c>
    </row>
    <row r="548" spans="1:8" ht="15.75" x14ac:dyDescent="0.25">
      <c r="A548" s="4">
        <v>90001928</v>
      </c>
      <c r="B548" s="4" t="s">
        <v>93</v>
      </c>
      <c r="C548" s="5" t="s">
        <v>2114</v>
      </c>
      <c r="D548" s="6" t="s">
        <v>89</v>
      </c>
      <c r="E548" s="9" t="s">
        <v>541</v>
      </c>
      <c r="F548" s="10" t="s">
        <v>541</v>
      </c>
      <c r="G548" s="6"/>
      <c r="H548" s="5" t="s">
        <v>603</v>
      </c>
    </row>
    <row r="549" spans="1:8" ht="15.75" x14ac:dyDescent="0.25">
      <c r="A549" s="4">
        <v>90001929</v>
      </c>
      <c r="B549" s="4" t="s">
        <v>93</v>
      </c>
      <c r="C549" s="5" t="s">
        <v>2115</v>
      </c>
      <c r="D549" s="6" t="s">
        <v>89</v>
      </c>
      <c r="E549" s="9" t="s">
        <v>541</v>
      </c>
      <c r="F549" s="10" t="s">
        <v>541</v>
      </c>
      <c r="G549" s="6"/>
      <c r="H549" s="5" t="s">
        <v>604</v>
      </c>
    </row>
    <row r="550" spans="1:8" ht="15.75" x14ac:dyDescent="0.25">
      <c r="A550" s="4">
        <v>90002264</v>
      </c>
      <c r="B550" s="4" t="s">
        <v>93</v>
      </c>
      <c r="C550" s="5" t="s">
        <v>1760</v>
      </c>
      <c r="D550" s="6" t="s">
        <v>89</v>
      </c>
      <c r="E550" s="9" t="s">
        <v>541</v>
      </c>
      <c r="F550" s="10" t="s">
        <v>541</v>
      </c>
      <c r="G550" s="6"/>
      <c r="H550" s="5" t="s">
        <v>1007</v>
      </c>
    </row>
    <row r="551" spans="1:8" ht="15.75" x14ac:dyDescent="0.25">
      <c r="A551" s="4">
        <v>90002280</v>
      </c>
      <c r="B551" s="4" t="s">
        <v>93</v>
      </c>
      <c r="C551" s="5" t="s">
        <v>2116</v>
      </c>
      <c r="D551" s="6" t="s">
        <v>89</v>
      </c>
      <c r="E551" s="9" t="s">
        <v>541</v>
      </c>
      <c r="F551" s="10" t="s">
        <v>541</v>
      </c>
      <c r="G551" s="6"/>
      <c r="H551" s="5" t="s">
        <v>605</v>
      </c>
    </row>
    <row r="552" spans="1:8" ht="15.75" x14ac:dyDescent="0.25">
      <c r="A552" s="4">
        <v>90002282</v>
      </c>
      <c r="B552" s="4" t="s">
        <v>93</v>
      </c>
      <c r="C552" s="5" t="s">
        <v>2117</v>
      </c>
      <c r="D552" s="6" t="s">
        <v>89</v>
      </c>
      <c r="E552" s="9" t="s">
        <v>541</v>
      </c>
      <c r="F552" s="10" t="s">
        <v>541</v>
      </c>
      <c r="G552" s="6"/>
      <c r="H552" s="5" t="s">
        <v>606</v>
      </c>
    </row>
    <row r="553" spans="1:8" ht="15.75" x14ac:dyDescent="0.25">
      <c r="A553" s="4">
        <v>90002287</v>
      </c>
      <c r="B553" s="4" t="s">
        <v>93</v>
      </c>
      <c r="C553" s="5" t="s">
        <v>1761</v>
      </c>
      <c r="D553" s="6" t="s">
        <v>89</v>
      </c>
      <c r="E553" s="9" t="s">
        <v>541</v>
      </c>
      <c r="F553" s="10" t="s">
        <v>541</v>
      </c>
      <c r="G553" s="6"/>
      <c r="H553" s="5" t="s">
        <v>1008</v>
      </c>
    </row>
    <row r="554" spans="1:8" ht="15.75" x14ac:dyDescent="0.25">
      <c r="A554" s="4">
        <v>90002288</v>
      </c>
      <c r="B554" s="4" t="s">
        <v>93</v>
      </c>
      <c r="C554" s="5" t="s">
        <v>2118</v>
      </c>
      <c r="D554" s="6" t="s">
        <v>89</v>
      </c>
      <c r="E554" s="9" t="s">
        <v>541</v>
      </c>
      <c r="F554" s="10" t="s">
        <v>541</v>
      </c>
      <c r="G554" s="6"/>
      <c r="H554" s="5" t="s">
        <v>607</v>
      </c>
    </row>
    <row r="555" spans="1:8" ht="15.75" x14ac:dyDescent="0.25">
      <c r="A555" s="4">
        <v>90002290</v>
      </c>
      <c r="B555" s="4" t="s">
        <v>93</v>
      </c>
      <c r="C555" s="5" t="s">
        <v>1762</v>
      </c>
      <c r="D555" s="6" t="s">
        <v>89</v>
      </c>
      <c r="E555" s="9" t="s">
        <v>541</v>
      </c>
      <c r="F555" s="10" t="s">
        <v>541</v>
      </c>
      <c r="G555" s="6"/>
      <c r="H555" s="5" t="s">
        <v>1009</v>
      </c>
    </row>
    <row r="556" spans="1:8" ht="15.75" x14ac:dyDescent="0.25">
      <c r="A556" s="4">
        <v>90002291</v>
      </c>
      <c r="B556" s="4" t="s">
        <v>93</v>
      </c>
      <c r="C556" s="5" t="s">
        <v>1763</v>
      </c>
      <c r="D556" s="6" t="s">
        <v>89</v>
      </c>
      <c r="E556" s="9" t="s">
        <v>541</v>
      </c>
      <c r="F556" s="10" t="s">
        <v>541</v>
      </c>
      <c r="G556" s="6"/>
      <c r="H556" s="5" t="s">
        <v>1010</v>
      </c>
    </row>
    <row r="557" spans="1:8" ht="15.75" x14ac:dyDescent="0.25">
      <c r="A557" s="4">
        <v>90002292</v>
      </c>
      <c r="B557" s="4" t="s">
        <v>93</v>
      </c>
      <c r="C557" s="5" t="s">
        <v>1764</v>
      </c>
      <c r="D557" s="6" t="s">
        <v>89</v>
      </c>
      <c r="E557" s="9" t="s">
        <v>541</v>
      </c>
      <c r="F557" s="10" t="s">
        <v>541</v>
      </c>
      <c r="G557" s="6"/>
      <c r="H557" s="5" t="s">
        <v>1011</v>
      </c>
    </row>
    <row r="558" spans="1:8" ht="15.75" x14ac:dyDescent="0.25">
      <c r="A558" s="4">
        <v>90002293</v>
      </c>
      <c r="B558" s="4" t="s">
        <v>93</v>
      </c>
      <c r="C558" s="5" t="s">
        <v>1765</v>
      </c>
      <c r="D558" s="6" t="s">
        <v>89</v>
      </c>
      <c r="E558" s="9" t="s">
        <v>541</v>
      </c>
      <c r="F558" s="10" t="s">
        <v>541</v>
      </c>
      <c r="G558" s="6"/>
      <c r="H558" s="5" t="s">
        <v>1012</v>
      </c>
    </row>
    <row r="559" spans="1:8" ht="15.75" x14ac:dyDescent="0.25">
      <c r="A559" s="4">
        <v>90002294</v>
      </c>
      <c r="B559" s="4" t="s">
        <v>93</v>
      </c>
      <c r="C559" s="5" t="s">
        <v>1766</v>
      </c>
      <c r="D559" s="6" t="s">
        <v>89</v>
      </c>
      <c r="E559" s="9" t="s">
        <v>541</v>
      </c>
      <c r="F559" s="10" t="s">
        <v>541</v>
      </c>
      <c r="G559" s="6"/>
      <c r="H559" s="5" t="s">
        <v>1013</v>
      </c>
    </row>
    <row r="560" spans="1:8" ht="15.75" x14ac:dyDescent="0.25">
      <c r="A560" s="4">
        <v>90002295</v>
      </c>
      <c r="B560" s="4" t="s">
        <v>93</v>
      </c>
      <c r="C560" s="5" t="s">
        <v>1767</v>
      </c>
      <c r="D560" s="6" t="s">
        <v>89</v>
      </c>
      <c r="E560" s="9" t="s">
        <v>541</v>
      </c>
      <c r="F560" s="10" t="s">
        <v>541</v>
      </c>
      <c r="G560" s="6"/>
      <c r="H560" s="5" t="s">
        <v>1014</v>
      </c>
    </row>
    <row r="561" spans="1:8" ht="15.75" x14ac:dyDescent="0.25">
      <c r="A561" s="4">
        <v>90002297</v>
      </c>
      <c r="B561" s="4" t="s">
        <v>93</v>
      </c>
      <c r="C561" s="5" t="s">
        <v>2119</v>
      </c>
      <c r="D561" s="6" t="s">
        <v>89</v>
      </c>
      <c r="E561" s="9" t="s">
        <v>541</v>
      </c>
      <c r="F561" s="10" t="s">
        <v>541</v>
      </c>
      <c r="G561" s="6"/>
      <c r="H561" s="5" t="s">
        <v>608</v>
      </c>
    </row>
    <row r="562" spans="1:8" ht="15.75" x14ac:dyDescent="0.25">
      <c r="A562" s="4">
        <v>90002298</v>
      </c>
      <c r="B562" s="4" t="s">
        <v>93</v>
      </c>
      <c r="C562" s="5" t="s">
        <v>1768</v>
      </c>
      <c r="D562" s="6" t="s">
        <v>89</v>
      </c>
      <c r="E562" s="9" t="s">
        <v>541</v>
      </c>
      <c r="F562" s="10" t="s">
        <v>541</v>
      </c>
      <c r="G562" s="6"/>
      <c r="H562" s="5" t="s">
        <v>1015</v>
      </c>
    </row>
    <row r="563" spans="1:8" ht="15.75" x14ac:dyDescent="0.25">
      <c r="A563" s="4">
        <v>90002299</v>
      </c>
      <c r="B563" s="4" t="s">
        <v>93</v>
      </c>
      <c r="C563" s="5" t="s">
        <v>1769</v>
      </c>
      <c r="D563" s="6" t="s">
        <v>89</v>
      </c>
      <c r="E563" s="9" t="s">
        <v>541</v>
      </c>
      <c r="F563" s="10" t="s">
        <v>541</v>
      </c>
      <c r="G563" s="6"/>
      <c r="H563" s="5" t="s">
        <v>1016</v>
      </c>
    </row>
    <row r="564" spans="1:8" ht="15.75" x14ac:dyDescent="0.25">
      <c r="A564" s="4">
        <v>90002300</v>
      </c>
      <c r="B564" s="4" t="s">
        <v>93</v>
      </c>
      <c r="C564" s="5" t="s">
        <v>1770</v>
      </c>
      <c r="D564" s="6" t="s">
        <v>89</v>
      </c>
      <c r="E564" s="9" t="s">
        <v>541</v>
      </c>
      <c r="F564" s="10" t="s">
        <v>541</v>
      </c>
      <c r="G564" s="6"/>
      <c r="H564" s="5" t="s">
        <v>1017</v>
      </c>
    </row>
    <row r="565" spans="1:8" ht="15.75" x14ac:dyDescent="0.25">
      <c r="A565" s="4">
        <v>90002301</v>
      </c>
      <c r="B565" s="4" t="s">
        <v>93</v>
      </c>
      <c r="C565" s="5" t="s">
        <v>1771</v>
      </c>
      <c r="D565" s="6" t="s">
        <v>89</v>
      </c>
      <c r="E565" s="9" t="s">
        <v>541</v>
      </c>
      <c r="F565" s="10" t="s">
        <v>541</v>
      </c>
      <c r="G565" s="6"/>
      <c r="H565" s="5" t="s">
        <v>1018</v>
      </c>
    </row>
    <row r="566" spans="1:8" ht="15.75" x14ac:dyDescent="0.25">
      <c r="A566" s="4">
        <v>90002302</v>
      </c>
      <c r="B566" s="4" t="s">
        <v>93</v>
      </c>
      <c r="C566" s="5" t="s">
        <v>1772</v>
      </c>
      <c r="D566" s="6" t="s">
        <v>89</v>
      </c>
      <c r="E566" s="9" t="s">
        <v>541</v>
      </c>
      <c r="F566" s="10" t="s">
        <v>541</v>
      </c>
      <c r="G566" s="6"/>
      <c r="H566" s="5" t="s">
        <v>1019</v>
      </c>
    </row>
    <row r="567" spans="1:8" ht="15.75" x14ac:dyDescent="0.25">
      <c r="A567" s="4">
        <v>90002303</v>
      </c>
      <c r="B567" s="4" t="s">
        <v>93</v>
      </c>
      <c r="C567" s="5" t="s">
        <v>1773</v>
      </c>
      <c r="D567" s="6" t="s">
        <v>89</v>
      </c>
      <c r="E567" s="9" t="s">
        <v>541</v>
      </c>
      <c r="F567" s="10" t="s">
        <v>541</v>
      </c>
      <c r="G567" s="6"/>
      <c r="H567" s="5" t="s">
        <v>1020</v>
      </c>
    </row>
    <row r="568" spans="1:8" ht="15.75" x14ac:dyDescent="0.25">
      <c r="A568" s="4">
        <v>90002351</v>
      </c>
      <c r="B568" s="4" t="s">
        <v>93</v>
      </c>
      <c r="C568" s="5" t="s">
        <v>2120</v>
      </c>
      <c r="D568" s="6" t="s">
        <v>89</v>
      </c>
      <c r="E568" s="9" t="s">
        <v>541</v>
      </c>
      <c r="F568" s="10" t="s">
        <v>541</v>
      </c>
      <c r="G568" s="6"/>
      <c r="H568" s="5" t="s">
        <v>609</v>
      </c>
    </row>
    <row r="569" spans="1:8" ht="15.75" x14ac:dyDescent="0.25">
      <c r="A569" s="4">
        <v>90002466</v>
      </c>
      <c r="B569" s="4" t="s">
        <v>93</v>
      </c>
      <c r="C569" s="5" t="s">
        <v>1774</v>
      </c>
      <c r="D569" s="6" t="s">
        <v>89</v>
      </c>
      <c r="E569" s="9" t="s">
        <v>541</v>
      </c>
      <c r="F569" s="10" t="s">
        <v>541</v>
      </c>
      <c r="G569" s="6"/>
      <c r="H569" s="5" t="s">
        <v>1021</v>
      </c>
    </row>
    <row r="570" spans="1:8" ht="15.75" x14ac:dyDescent="0.25">
      <c r="A570" s="4">
        <v>90002467</v>
      </c>
      <c r="B570" s="4" t="s">
        <v>93</v>
      </c>
      <c r="C570" s="5" t="s">
        <v>1775</v>
      </c>
      <c r="D570" s="6" t="s">
        <v>89</v>
      </c>
      <c r="E570" s="9" t="s">
        <v>541</v>
      </c>
      <c r="F570" s="10" t="s">
        <v>541</v>
      </c>
      <c r="G570" s="6"/>
      <c r="H570" s="5" t="s">
        <v>1022</v>
      </c>
    </row>
    <row r="571" spans="1:8" ht="15.75" x14ac:dyDescent="0.25">
      <c r="A571" s="4">
        <v>90002520</v>
      </c>
      <c r="B571" s="4" t="s">
        <v>93</v>
      </c>
      <c r="C571" s="5" t="s">
        <v>1776</v>
      </c>
      <c r="D571" s="6" t="s">
        <v>89</v>
      </c>
      <c r="E571" s="9" t="s">
        <v>541</v>
      </c>
      <c r="F571" s="10" t="s">
        <v>541</v>
      </c>
      <c r="G571" s="6"/>
      <c r="H571" s="5" t="s">
        <v>1023</v>
      </c>
    </row>
    <row r="572" spans="1:8" ht="15.75" x14ac:dyDescent="0.25">
      <c r="A572" s="4">
        <v>90002785</v>
      </c>
      <c r="B572" s="4" t="s">
        <v>93</v>
      </c>
      <c r="C572" s="5" t="s">
        <v>1777</v>
      </c>
      <c r="D572" s="6" t="s">
        <v>89</v>
      </c>
      <c r="E572" s="9" t="s">
        <v>541</v>
      </c>
      <c r="F572" s="10" t="s">
        <v>541</v>
      </c>
      <c r="G572" s="6"/>
      <c r="H572" s="5" t="s">
        <v>1024</v>
      </c>
    </row>
    <row r="573" spans="1:8" ht="15.75" x14ac:dyDescent="0.25">
      <c r="A573" s="4">
        <v>90003797</v>
      </c>
      <c r="B573" s="4" t="s">
        <v>93</v>
      </c>
      <c r="C573" s="5" t="s">
        <v>1778</v>
      </c>
      <c r="D573" s="6" t="s">
        <v>89</v>
      </c>
      <c r="E573" s="9" t="s">
        <v>541</v>
      </c>
      <c r="F573" s="10" t="s">
        <v>541</v>
      </c>
      <c r="G573" s="6"/>
      <c r="H573" s="5" t="s">
        <v>1025</v>
      </c>
    </row>
    <row r="574" spans="1:8" ht="15.75" x14ac:dyDescent="0.25">
      <c r="A574" s="4">
        <v>63001487</v>
      </c>
      <c r="B574" s="4">
        <v>702068000358</v>
      </c>
      <c r="C574" s="5" t="s">
        <v>1779</v>
      </c>
      <c r="D574" s="6" t="s">
        <v>17</v>
      </c>
      <c r="E574" s="9" t="s">
        <v>541</v>
      </c>
      <c r="F574" s="10" t="s">
        <v>541</v>
      </c>
      <c r="G574" s="6"/>
      <c r="H574" s="5" t="s">
        <v>1026</v>
      </c>
    </row>
    <row r="575" spans="1:8" ht="15.75" x14ac:dyDescent="0.25">
      <c r="A575" s="4">
        <v>63001726</v>
      </c>
      <c r="B575" s="4">
        <v>741641001755</v>
      </c>
      <c r="C575" s="5" t="s">
        <v>1780</v>
      </c>
      <c r="D575" s="6" t="s">
        <v>17</v>
      </c>
      <c r="E575" s="9" t="s">
        <v>541</v>
      </c>
      <c r="F575" s="10" t="s">
        <v>541</v>
      </c>
      <c r="G575" s="6"/>
      <c r="H575" s="5" t="s">
        <v>1027</v>
      </c>
    </row>
    <row r="576" spans="1:8" ht="15.75" x14ac:dyDescent="0.25">
      <c r="A576" s="4">
        <v>63001727</v>
      </c>
      <c r="B576" s="4">
        <v>760258006839</v>
      </c>
      <c r="C576" s="5" t="s">
        <v>1781</v>
      </c>
      <c r="D576" s="6" t="s">
        <v>17</v>
      </c>
      <c r="E576" s="9" t="s">
        <v>541</v>
      </c>
      <c r="F576" s="10" t="s">
        <v>541</v>
      </c>
      <c r="G576" s="6"/>
      <c r="H576" s="5" t="s">
        <v>1028</v>
      </c>
    </row>
    <row r="577" spans="1:8" ht="15.75" x14ac:dyDescent="0.25">
      <c r="A577" s="4">
        <v>63001728</v>
      </c>
      <c r="B577" s="4">
        <v>680115012858</v>
      </c>
      <c r="C577" s="5" t="s">
        <v>1782</v>
      </c>
      <c r="D577" s="6" t="s">
        <v>17</v>
      </c>
      <c r="E577" s="9" t="s">
        <v>541</v>
      </c>
      <c r="F577" s="10" t="s">
        <v>541</v>
      </c>
      <c r="G577" s="6"/>
      <c r="H577" s="5" t="s">
        <v>1029</v>
      </c>
    </row>
    <row r="578" spans="1:8" ht="15.75" x14ac:dyDescent="0.25">
      <c r="A578" s="4">
        <v>63001731</v>
      </c>
      <c r="B578" s="4">
        <v>710754001556</v>
      </c>
      <c r="C578" s="5" t="s">
        <v>1783</v>
      </c>
      <c r="D578" s="6" t="s">
        <v>17</v>
      </c>
      <c r="E578" s="9" t="s">
        <v>541</v>
      </c>
      <c r="F578" s="10" t="s">
        <v>541</v>
      </c>
      <c r="G578" s="6"/>
      <c r="H578" s="5" t="s">
        <v>1030</v>
      </c>
    </row>
    <row r="579" spans="1:8" ht="15.75" x14ac:dyDescent="0.25">
      <c r="A579" s="4">
        <v>63001734</v>
      </c>
      <c r="B579" s="4">
        <v>700706003363</v>
      </c>
      <c r="C579" s="5" t="s">
        <v>1784</v>
      </c>
      <c r="D579" s="6" t="s">
        <v>17</v>
      </c>
      <c r="E579" s="9" t="s">
        <v>541</v>
      </c>
      <c r="F579" s="10" t="s">
        <v>541</v>
      </c>
      <c r="G579" s="6"/>
      <c r="H579" s="5" t="s">
        <v>1031</v>
      </c>
    </row>
    <row r="580" spans="1:8" ht="15.75" x14ac:dyDescent="0.25">
      <c r="A580" s="4">
        <v>63001735</v>
      </c>
      <c r="B580" s="4">
        <v>660087017835</v>
      </c>
      <c r="C580" s="5" t="s">
        <v>1785</v>
      </c>
      <c r="D580" s="6" t="s">
        <v>17</v>
      </c>
      <c r="E580" s="9" t="s">
        <v>541</v>
      </c>
      <c r="F580" s="10" t="s">
        <v>541</v>
      </c>
      <c r="G580" s="6"/>
      <c r="H580" s="5" t="s">
        <v>1032</v>
      </c>
    </row>
    <row r="581" spans="1:8" ht="15.75" x14ac:dyDescent="0.25">
      <c r="A581" s="4">
        <v>63001736</v>
      </c>
      <c r="B581" s="4">
        <v>720472003651</v>
      </c>
      <c r="C581" s="5" t="s">
        <v>1786</v>
      </c>
      <c r="D581" s="6" t="s">
        <v>17</v>
      </c>
      <c r="E581" s="9" t="s">
        <v>541</v>
      </c>
      <c r="F581" s="10" t="s">
        <v>541</v>
      </c>
      <c r="G581" s="6"/>
      <c r="H581" s="5" t="s">
        <v>1033</v>
      </c>
    </row>
    <row r="582" spans="1:8" ht="15.75" x14ac:dyDescent="0.25">
      <c r="A582" s="4">
        <v>63001737</v>
      </c>
      <c r="B582" s="4">
        <v>717465000445</v>
      </c>
      <c r="C582" s="5" t="s">
        <v>1787</v>
      </c>
      <c r="D582" s="6" t="s">
        <v>17</v>
      </c>
      <c r="E582" s="9" t="s">
        <v>541</v>
      </c>
      <c r="F582" s="10" t="s">
        <v>541</v>
      </c>
      <c r="G582" s="6"/>
      <c r="H582" s="5" t="s">
        <v>1034</v>
      </c>
    </row>
    <row r="583" spans="1:8" ht="15.75" x14ac:dyDescent="0.25">
      <c r="A583" s="4">
        <v>63001739</v>
      </c>
      <c r="B583" s="4">
        <v>800412013167</v>
      </c>
      <c r="C583" s="5" t="s">
        <v>1788</v>
      </c>
      <c r="D583" s="6" t="s">
        <v>17</v>
      </c>
      <c r="E583" s="9" t="s">
        <v>541</v>
      </c>
      <c r="F583" s="10" t="s">
        <v>541</v>
      </c>
      <c r="G583" s="6"/>
      <c r="H583" s="5" t="s">
        <v>1035</v>
      </c>
    </row>
    <row r="584" spans="1:8" ht="15.75" x14ac:dyDescent="0.25">
      <c r="A584" s="4">
        <v>63001742</v>
      </c>
      <c r="B584" s="4">
        <v>700031018061</v>
      </c>
      <c r="C584" s="5" t="s">
        <v>1789</v>
      </c>
      <c r="D584" s="6" t="s">
        <v>17</v>
      </c>
      <c r="E584" s="9" t="s">
        <v>541</v>
      </c>
      <c r="F584" s="10" t="s">
        <v>541</v>
      </c>
      <c r="G584" s="6"/>
      <c r="H584" s="5" t="s">
        <v>1036</v>
      </c>
    </row>
    <row r="585" spans="1:8" ht="15.75" x14ac:dyDescent="0.25">
      <c r="A585" s="4">
        <v>63001743</v>
      </c>
      <c r="B585" s="4">
        <v>826212000162</v>
      </c>
      <c r="C585" s="5" t="s">
        <v>1790</v>
      </c>
      <c r="D585" s="6" t="s">
        <v>17</v>
      </c>
      <c r="E585" s="9" t="s">
        <v>541</v>
      </c>
      <c r="F585" s="10" t="s">
        <v>541</v>
      </c>
      <c r="G585" s="6"/>
      <c r="H585" s="5" t="s">
        <v>1037</v>
      </c>
    </row>
    <row r="586" spans="1:8" ht="15.75" x14ac:dyDescent="0.25">
      <c r="A586" s="4">
        <v>63001744</v>
      </c>
      <c r="B586" s="4">
        <v>710063024059</v>
      </c>
      <c r="C586" s="5" t="s">
        <v>1791</v>
      </c>
      <c r="D586" s="6" t="s">
        <v>17</v>
      </c>
      <c r="E586" s="9" t="s">
        <v>541</v>
      </c>
      <c r="F586" s="10" t="s">
        <v>541</v>
      </c>
      <c r="G586" s="6"/>
      <c r="H586" s="5" t="s">
        <v>377</v>
      </c>
    </row>
    <row r="587" spans="1:8" ht="15.75" x14ac:dyDescent="0.25">
      <c r="A587" s="4">
        <v>63001746</v>
      </c>
      <c r="B587" s="4">
        <v>784877000931</v>
      </c>
      <c r="C587" s="5" t="s">
        <v>1792</v>
      </c>
      <c r="D587" s="6" t="s">
        <v>17</v>
      </c>
      <c r="E587" s="9" t="s">
        <v>541</v>
      </c>
      <c r="F587" s="10" t="s">
        <v>541</v>
      </c>
      <c r="G587" s="6"/>
      <c r="H587" s="5" t="s">
        <v>1038</v>
      </c>
    </row>
    <row r="588" spans="1:8" ht="15.75" x14ac:dyDescent="0.25">
      <c r="A588" s="4">
        <v>63001747</v>
      </c>
      <c r="B588" s="4">
        <v>751398002540</v>
      </c>
      <c r="C588" s="5" t="s">
        <v>1793</v>
      </c>
      <c r="D588" s="6" t="s">
        <v>17</v>
      </c>
      <c r="E588" s="9" t="s">
        <v>541</v>
      </c>
      <c r="F588" s="10" t="s">
        <v>541</v>
      </c>
      <c r="G588" s="6"/>
      <c r="H588" s="5" t="s">
        <v>1039</v>
      </c>
    </row>
    <row r="589" spans="1:8" ht="15.75" x14ac:dyDescent="0.25">
      <c r="A589" s="4">
        <v>63001748</v>
      </c>
      <c r="B589" s="4">
        <v>710035014955</v>
      </c>
      <c r="C589" s="5" t="s">
        <v>1794</v>
      </c>
      <c r="D589" s="6" t="s">
        <v>17</v>
      </c>
      <c r="E589" s="9" t="s">
        <v>541</v>
      </c>
      <c r="F589" s="10" t="s">
        <v>541</v>
      </c>
      <c r="G589" s="6"/>
      <c r="H589" s="5" t="s">
        <v>1040</v>
      </c>
    </row>
    <row r="590" spans="1:8" ht="15.75" x14ac:dyDescent="0.25">
      <c r="A590" s="4">
        <v>63001749</v>
      </c>
      <c r="B590" s="4">
        <v>720322007753</v>
      </c>
      <c r="C590" s="5" t="s">
        <v>1795</v>
      </c>
      <c r="D590" s="6" t="s">
        <v>17</v>
      </c>
      <c r="E590" s="9" t="s">
        <v>541</v>
      </c>
      <c r="F590" s="10" t="s">
        <v>541</v>
      </c>
      <c r="G590" s="6"/>
      <c r="H590" s="5" t="s">
        <v>1041</v>
      </c>
    </row>
    <row r="591" spans="1:8" ht="15.75" x14ac:dyDescent="0.25">
      <c r="A591" s="4">
        <v>63001815</v>
      </c>
      <c r="B591" s="4">
        <v>720133006853</v>
      </c>
      <c r="C591" s="5" t="s">
        <v>94</v>
      </c>
      <c r="D591" s="6" t="s">
        <v>17</v>
      </c>
      <c r="E591" s="9" t="s">
        <v>541</v>
      </c>
      <c r="F591" s="10" t="s">
        <v>541</v>
      </c>
      <c r="G591" s="6"/>
      <c r="H591" s="5" t="s">
        <v>1303</v>
      </c>
    </row>
    <row r="592" spans="1:8" ht="15.75" x14ac:dyDescent="0.25">
      <c r="A592" s="4">
        <v>63004828</v>
      </c>
      <c r="B592" s="4">
        <v>743007001264</v>
      </c>
      <c r="C592" s="5" t="s">
        <v>1796</v>
      </c>
      <c r="D592" s="6" t="s">
        <v>17</v>
      </c>
      <c r="E592" s="9" t="s">
        <v>541</v>
      </c>
      <c r="F592" s="10" t="s">
        <v>541</v>
      </c>
      <c r="G592" s="6">
        <f>_xlfn.XLOOKUP(DATA_TABLE[[#This Row],[Matricule]],GLOBAL!$B$2:$B$351,GLOBAL!$F$2:$F$351,"not found")</f>
        <v>18</v>
      </c>
      <c r="H592" s="5" t="s">
        <v>191</v>
      </c>
    </row>
    <row r="593" spans="1:8" ht="15.75" x14ac:dyDescent="0.25">
      <c r="A593" s="4">
        <v>63004829</v>
      </c>
      <c r="B593" s="4">
        <v>621383000754</v>
      </c>
      <c r="C593" s="5" t="s">
        <v>1797</v>
      </c>
      <c r="D593" s="6" t="s">
        <v>17</v>
      </c>
      <c r="E593" s="9" t="s">
        <v>541</v>
      </c>
      <c r="F593" s="10" t="s">
        <v>541</v>
      </c>
      <c r="G593" s="6"/>
      <c r="H593" s="5" t="s">
        <v>1042</v>
      </c>
    </row>
    <row r="594" spans="1:8" ht="15.75" x14ac:dyDescent="0.25">
      <c r="A594" s="4">
        <v>63004831</v>
      </c>
      <c r="B594" s="4">
        <v>710040004365</v>
      </c>
      <c r="C594" s="5" t="s">
        <v>1798</v>
      </c>
      <c r="D594" s="6" t="s">
        <v>17</v>
      </c>
      <c r="E594" s="9" t="s">
        <v>541</v>
      </c>
      <c r="F594" s="10" t="s">
        <v>541</v>
      </c>
      <c r="G594" s="6"/>
      <c r="H594" s="5" t="s">
        <v>1043</v>
      </c>
    </row>
    <row r="595" spans="1:8" ht="15.75" x14ac:dyDescent="0.25">
      <c r="A595" s="4">
        <v>63004832</v>
      </c>
      <c r="B595" s="4">
        <v>666585000241</v>
      </c>
      <c r="C595" s="5" t="s">
        <v>1799</v>
      </c>
      <c r="D595" s="6" t="s">
        <v>17</v>
      </c>
      <c r="E595" s="9" t="s">
        <v>541</v>
      </c>
      <c r="F595" s="10" t="s">
        <v>541</v>
      </c>
      <c r="G595" s="6"/>
      <c r="H595" s="5" t="s">
        <v>1044</v>
      </c>
    </row>
    <row r="596" spans="1:8" ht="15.75" x14ac:dyDescent="0.25">
      <c r="A596" s="4">
        <v>63004833</v>
      </c>
      <c r="B596" s="4">
        <v>691618000555</v>
      </c>
      <c r="C596" s="5" t="s">
        <v>1800</v>
      </c>
      <c r="D596" s="6" t="s">
        <v>17</v>
      </c>
      <c r="E596" s="9" t="s">
        <v>541</v>
      </c>
      <c r="F596" s="10" t="s">
        <v>541</v>
      </c>
      <c r="G596" s="6"/>
      <c r="H596" s="5" t="s">
        <v>1045</v>
      </c>
    </row>
    <row r="597" spans="1:8" ht="15.75" x14ac:dyDescent="0.25">
      <c r="A597" s="4">
        <v>63004834</v>
      </c>
      <c r="B597" s="4">
        <v>631410000967</v>
      </c>
      <c r="C597" s="5" t="s">
        <v>1801</v>
      </c>
      <c r="D597" s="6" t="s">
        <v>17</v>
      </c>
      <c r="E597" s="9" t="s">
        <v>541</v>
      </c>
      <c r="F597" s="10" t="s">
        <v>541</v>
      </c>
      <c r="G597" s="6"/>
      <c r="H597" s="5" t="s">
        <v>1046</v>
      </c>
    </row>
    <row r="598" spans="1:8" ht="15.75" x14ac:dyDescent="0.25">
      <c r="A598" s="4">
        <v>63010979</v>
      </c>
      <c r="B598" s="4">
        <v>942474003342</v>
      </c>
      <c r="C598" s="5" t="s">
        <v>95</v>
      </c>
      <c r="D598" s="6" t="s">
        <v>17</v>
      </c>
      <c r="E598" s="5" t="s">
        <v>251</v>
      </c>
      <c r="F598" s="6" t="s">
        <v>155</v>
      </c>
      <c r="G598" s="6">
        <f>_xlfn.XLOOKUP(DATA_TABLE[[#This Row],[Matricule]],GLOBAL!$B$2:$B$351,GLOBAL!$F$2:$F$351,"not found")</f>
        <v>17</v>
      </c>
      <c r="H598" s="5" t="s">
        <v>250</v>
      </c>
    </row>
    <row r="599" spans="1:8" ht="15.75" x14ac:dyDescent="0.25">
      <c r="A599" s="4">
        <v>63019442</v>
      </c>
      <c r="B599" s="4">
        <v>660260011955</v>
      </c>
      <c r="C599" s="5" t="s">
        <v>1802</v>
      </c>
      <c r="D599" s="6" t="s">
        <v>17</v>
      </c>
      <c r="E599" s="9" t="s">
        <v>541</v>
      </c>
      <c r="F599" s="10" t="s">
        <v>541</v>
      </c>
      <c r="G599" s="6"/>
      <c r="H599" s="5" t="s">
        <v>1047</v>
      </c>
    </row>
    <row r="600" spans="1:8" ht="15.75" x14ac:dyDescent="0.25">
      <c r="A600" s="4">
        <v>63001362</v>
      </c>
      <c r="B600" s="4">
        <v>850788004534</v>
      </c>
      <c r="C600" s="5" t="s">
        <v>1803</v>
      </c>
      <c r="D600" s="6" t="s">
        <v>18</v>
      </c>
      <c r="E600" s="5" t="s">
        <v>236</v>
      </c>
      <c r="F600" s="6" t="s">
        <v>161</v>
      </c>
      <c r="G600" s="6">
        <f>_xlfn.XLOOKUP(DATA_TABLE[[#This Row],[Matricule]],GLOBAL!$B$2:$B$351,GLOBAL!$F$2:$F$351,"not found")</f>
        <v>24</v>
      </c>
      <c r="H600" s="5" t="s">
        <v>235</v>
      </c>
    </row>
    <row r="601" spans="1:8" ht="15.75" x14ac:dyDescent="0.25">
      <c r="A601" s="4">
        <v>63001493</v>
      </c>
      <c r="B601" s="4">
        <v>822591003344</v>
      </c>
      <c r="C601" s="5" t="s">
        <v>1804</v>
      </c>
      <c r="D601" s="6" t="s">
        <v>18</v>
      </c>
      <c r="E601" s="5" t="s">
        <v>173</v>
      </c>
      <c r="F601" s="6" t="s">
        <v>161</v>
      </c>
      <c r="G601" s="6">
        <f>_xlfn.XLOOKUP(DATA_TABLE[[#This Row],[Matricule]],GLOBAL!$B$2:$B$351,GLOBAL!$F$2:$F$351,"not found")</f>
        <v>23</v>
      </c>
      <c r="H601" s="5" t="s">
        <v>172</v>
      </c>
    </row>
    <row r="602" spans="1:8" ht="15.75" x14ac:dyDescent="0.25">
      <c r="A602" s="4">
        <v>63001500</v>
      </c>
      <c r="B602" s="4">
        <v>850409004354</v>
      </c>
      <c r="C602" s="5" t="s">
        <v>96</v>
      </c>
      <c r="D602" s="6" t="s">
        <v>18</v>
      </c>
      <c r="E602" s="5" t="s">
        <v>187</v>
      </c>
      <c r="F602" s="6" t="s">
        <v>155</v>
      </c>
      <c r="G602" s="6">
        <f>_xlfn.XLOOKUP(DATA_TABLE[[#This Row],[Matricule]],GLOBAL!$B$2:$B$351,GLOBAL!$F$2:$F$351,"not found")</f>
        <v>20</v>
      </c>
      <c r="H602" s="5" t="s">
        <v>186</v>
      </c>
    </row>
    <row r="603" spans="1:8" ht="15.75" x14ac:dyDescent="0.25">
      <c r="A603" s="4">
        <v>63001584</v>
      </c>
      <c r="B603" s="4">
        <v>916210000757</v>
      </c>
      <c r="C603" s="5" t="s">
        <v>97</v>
      </c>
      <c r="D603" s="6" t="s">
        <v>18</v>
      </c>
      <c r="E603" s="5" t="s">
        <v>440</v>
      </c>
      <c r="F603" s="6" t="s">
        <v>155</v>
      </c>
      <c r="G603" s="6"/>
      <c r="H603" s="5" t="s">
        <v>1304</v>
      </c>
    </row>
    <row r="604" spans="1:8" ht="15.75" x14ac:dyDescent="0.25">
      <c r="A604" s="4">
        <v>63001608</v>
      </c>
      <c r="B604" s="4">
        <v>920790003642</v>
      </c>
      <c r="C604" s="5" t="s">
        <v>98</v>
      </c>
      <c r="D604" s="6" t="s">
        <v>18</v>
      </c>
      <c r="E604" s="5" t="s">
        <v>351</v>
      </c>
      <c r="F604" s="6" t="s">
        <v>161</v>
      </c>
      <c r="G604" s="6"/>
      <c r="H604" s="5" t="s">
        <v>1305</v>
      </c>
    </row>
    <row r="605" spans="1:8" ht="15.75" x14ac:dyDescent="0.25">
      <c r="A605" s="4">
        <v>63001616</v>
      </c>
      <c r="B605" s="4">
        <v>861984005729</v>
      </c>
      <c r="C605" s="5" t="s">
        <v>1805</v>
      </c>
      <c r="D605" s="6" t="s">
        <v>18</v>
      </c>
      <c r="E605" s="5" t="s">
        <v>236</v>
      </c>
      <c r="F605" s="6" t="s">
        <v>161</v>
      </c>
      <c r="G605" s="6"/>
      <c r="H605" s="5" t="s">
        <v>1048</v>
      </c>
    </row>
    <row r="606" spans="1:8" ht="15.75" x14ac:dyDescent="0.25">
      <c r="A606" s="4">
        <v>63001620</v>
      </c>
      <c r="B606" s="4">
        <v>835467001144</v>
      </c>
      <c r="C606" s="5" t="s">
        <v>1806</v>
      </c>
      <c r="D606" s="6" t="s">
        <v>18</v>
      </c>
      <c r="E606" s="5" t="s">
        <v>531</v>
      </c>
      <c r="F606" s="6" t="s">
        <v>155</v>
      </c>
      <c r="G606" s="6"/>
      <c r="H606" s="5" t="s">
        <v>1049</v>
      </c>
    </row>
    <row r="607" spans="1:8" ht="15.75" x14ac:dyDescent="0.25">
      <c r="A607" s="4">
        <v>63001716</v>
      </c>
      <c r="B607" s="4">
        <v>953136001550</v>
      </c>
      <c r="C607" s="5" t="s">
        <v>1807</v>
      </c>
      <c r="D607" s="6" t="s">
        <v>18</v>
      </c>
      <c r="E607" s="5" t="s">
        <v>254</v>
      </c>
      <c r="F607" s="6" t="s">
        <v>155</v>
      </c>
      <c r="G607" s="6">
        <f>_xlfn.XLOOKUP(DATA_TABLE[[#This Row],[Matricule]],GLOBAL!$B$2:$B$351,GLOBAL!$F$2:$F$351,"not found")</f>
        <v>18</v>
      </c>
      <c r="H607" s="5" t="s">
        <v>253</v>
      </c>
    </row>
    <row r="608" spans="1:8" ht="15.75" x14ac:dyDescent="0.25">
      <c r="A608" s="4">
        <v>63001890</v>
      </c>
      <c r="B608" s="4">
        <v>735430000359</v>
      </c>
      <c r="C608" s="5" t="s">
        <v>1808</v>
      </c>
      <c r="D608" s="6" t="s">
        <v>18</v>
      </c>
      <c r="E608" s="9" t="s">
        <v>541</v>
      </c>
      <c r="F608" s="10" t="s">
        <v>541</v>
      </c>
      <c r="G608" s="6"/>
      <c r="H608" s="5" t="s">
        <v>1050</v>
      </c>
    </row>
    <row r="609" spans="1:8" ht="15.75" x14ac:dyDescent="0.25">
      <c r="A609" s="4">
        <v>63001945</v>
      </c>
      <c r="B609" s="4">
        <v>764602000558</v>
      </c>
      <c r="C609" s="5" t="s">
        <v>2121</v>
      </c>
      <c r="D609" s="6" t="s">
        <v>18</v>
      </c>
      <c r="E609" s="5" t="s">
        <v>439</v>
      </c>
      <c r="F609" s="6" t="s">
        <v>161</v>
      </c>
      <c r="G609" s="6"/>
      <c r="H609" s="5" t="s">
        <v>610</v>
      </c>
    </row>
    <row r="610" spans="1:8" ht="15.75" x14ac:dyDescent="0.25">
      <c r="A610" s="4">
        <v>63001949</v>
      </c>
      <c r="B610" s="4">
        <v>782628002546</v>
      </c>
      <c r="C610" s="5" t="s">
        <v>1809</v>
      </c>
      <c r="D610" s="6" t="s">
        <v>18</v>
      </c>
      <c r="E610" s="5" t="s">
        <v>236</v>
      </c>
      <c r="F610" s="6" t="s">
        <v>161</v>
      </c>
      <c r="G610" s="6"/>
      <c r="H610" s="5" t="s">
        <v>337</v>
      </c>
    </row>
    <row r="611" spans="1:8" ht="15.75" x14ac:dyDescent="0.25">
      <c r="A611" s="4">
        <v>63004957</v>
      </c>
      <c r="B611" s="4">
        <v>922069005242</v>
      </c>
      <c r="C611" s="5" t="s">
        <v>99</v>
      </c>
      <c r="D611" s="6" t="s">
        <v>18</v>
      </c>
      <c r="E611" s="9" t="s">
        <v>541</v>
      </c>
      <c r="F611" s="10" t="s">
        <v>541</v>
      </c>
      <c r="G611" s="6"/>
      <c r="H611" s="5" t="s">
        <v>1306</v>
      </c>
    </row>
    <row r="612" spans="1:8" ht="15.75" x14ac:dyDescent="0.25">
      <c r="A612" s="4">
        <v>63010876</v>
      </c>
      <c r="B612" s="4">
        <v>715919000450</v>
      </c>
      <c r="C612" s="5" t="s">
        <v>1810</v>
      </c>
      <c r="D612" s="6" t="s">
        <v>18</v>
      </c>
      <c r="E612" s="5" t="s">
        <v>351</v>
      </c>
      <c r="F612" s="6" t="s">
        <v>161</v>
      </c>
      <c r="G612" s="6"/>
      <c r="H612" s="5" t="s">
        <v>350</v>
      </c>
    </row>
    <row r="613" spans="1:8" ht="15.75" x14ac:dyDescent="0.25">
      <c r="A613" s="4">
        <v>63013336</v>
      </c>
      <c r="B613" s="4">
        <v>910566004346</v>
      </c>
      <c r="C613" s="5" t="s">
        <v>2122</v>
      </c>
      <c r="D613" s="6" t="s">
        <v>18</v>
      </c>
      <c r="E613" s="5" t="s">
        <v>354</v>
      </c>
      <c r="F613" s="6" t="s">
        <v>161</v>
      </c>
      <c r="G613" s="6"/>
      <c r="H613" s="5" t="s">
        <v>353</v>
      </c>
    </row>
    <row r="614" spans="1:8" ht="15.75" x14ac:dyDescent="0.25">
      <c r="A614" s="4">
        <v>63030545</v>
      </c>
      <c r="B614" s="4">
        <v>993083002043</v>
      </c>
      <c r="C614" s="5" t="s">
        <v>2123</v>
      </c>
      <c r="D614" s="6" t="s">
        <v>18</v>
      </c>
      <c r="E614" s="5" t="s">
        <v>365</v>
      </c>
      <c r="F614" s="6" t="s">
        <v>161</v>
      </c>
      <c r="G614" s="6"/>
      <c r="H614" s="5" t="s">
        <v>611</v>
      </c>
    </row>
    <row r="615" spans="1:8" ht="15.75" x14ac:dyDescent="0.25">
      <c r="A615" s="4">
        <v>63036962</v>
      </c>
      <c r="B615" s="4">
        <v>970096007630</v>
      </c>
      <c r="C615" s="5" t="s">
        <v>1811</v>
      </c>
      <c r="D615" s="6" t="s">
        <v>18</v>
      </c>
      <c r="E615" s="5" t="s">
        <v>275</v>
      </c>
      <c r="F615" s="6" t="s">
        <v>161</v>
      </c>
      <c r="G615" s="6"/>
      <c r="H615" s="5" t="s">
        <v>274</v>
      </c>
    </row>
    <row r="616" spans="1:8" ht="15.75" x14ac:dyDescent="0.25">
      <c r="A616" s="4">
        <v>63037011</v>
      </c>
      <c r="B616" s="4">
        <v>931222002064</v>
      </c>
      <c r="C616" s="5" t="s">
        <v>2124</v>
      </c>
      <c r="D616" s="6" t="s">
        <v>18</v>
      </c>
      <c r="E616" s="5" t="s">
        <v>438</v>
      </c>
      <c r="F616" s="6" t="s">
        <v>161</v>
      </c>
      <c r="G616" s="6"/>
      <c r="H616" s="5" t="s">
        <v>612</v>
      </c>
    </row>
    <row r="617" spans="1:8" ht="15.75" x14ac:dyDescent="0.25">
      <c r="A617" s="4">
        <v>63001306</v>
      </c>
      <c r="B617" s="4">
        <v>860846006538</v>
      </c>
      <c r="C617" s="5" t="s">
        <v>1812</v>
      </c>
      <c r="D617" s="6" t="s">
        <v>100</v>
      </c>
      <c r="E617" s="5" t="s">
        <v>540</v>
      </c>
      <c r="F617" s="6" t="s">
        <v>161</v>
      </c>
      <c r="G617" s="6"/>
      <c r="H617" s="5" t="s">
        <v>1051</v>
      </c>
    </row>
    <row r="618" spans="1:8" ht="15.75" x14ac:dyDescent="0.25">
      <c r="A618" s="4">
        <v>63001319</v>
      </c>
      <c r="B618" s="4">
        <v>765592000143</v>
      </c>
      <c r="C618" s="5" t="s">
        <v>2125</v>
      </c>
      <c r="D618" s="6" t="s">
        <v>100</v>
      </c>
      <c r="E618" s="5" t="s">
        <v>532</v>
      </c>
      <c r="F618" s="6" t="s">
        <v>161</v>
      </c>
      <c r="G618" s="6"/>
      <c r="H618" s="5" t="s">
        <v>613</v>
      </c>
    </row>
    <row r="619" spans="1:8" ht="15.75" x14ac:dyDescent="0.25">
      <c r="A619" s="4">
        <v>63001322</v>
      </c>
      <c r="B619" s="4">
        <v>820152005256</v>
      </c>
      <c r="C619" s="5" t="s">
        <v>1813</v>
      </c>
      <c r="D619" s="6" t="s">
        <v>100</v>
      </c>
      <c r="E619" s="9" t="s">
        <v>541</v>
      </c>
      <c r="F619" s="10" t="s">
        <v>541</v>
      </c>
      <c r="G619" s="6"/>
      <c r="H619" s="5" t="s">
        <v>1052</v>
      </c>
    </row>
    <row r="620" spans="1:8" ht="15.75" x14ac:dyDescent="0.25">
      <c r="A620" s="4">
        <v>63001340</v>
      </c>
      <c r="B620" s="4">
        <v>910885000843</v>
      </c>
      <c r="C620" s="5" t="s">
        <v>101</v>
      </c>
      <c r="D620" s="6" t="s">
        <v>100</v>
      </c>
      <c r="E620" s="5" t="s">
        <v>272</v>
      </c>
      <c r="F620" s="6" t="s">
        <v>161</v>
      </c>
      <c r="G620" s="6"/>
      <c r="H620" s="5" t="s">
        <v>1307</v>
      </c>
    </row>
    <row r="621" spans="1:8" ht="15.75" x14ac:dyDescent="0.25">
      <c r="A621" s="4">
        <v>63001368</v>
      </c>
      <c r="B621" s="4">
        <v>830931008246</v>
      </c>
      <c r="C621" s="5" t="s">
        <v>1814</v>
      </c>
      <c r="D621" s="6" t="s">
        <v>100</v>
      </c>
      <c r="E621" s="5" t="s">
        <v>386</v>
      </c>
      <c r="F621" s="6" t="s">
        <v>161</v>
      </c>
      <c r="G621" s="6"/>
      <c r="H621" s="5" t="s">
        <v>385</v>
      </c>
    </row>
    <row r="622" spans="1:8" ht="15.75" x14ac:dyDescent="0.25">
      <c r="A622" s="4">
        <v>63001394</v>
      </c>
      <c r="B622" s="4">
        <v>880323015846</v>
      </c>
      <c r="C622" s="5" t="s">
        <v>2126</v>
      </c>
      <c r="D622" s="6" t="s">
        <v>100</v>
      </c>
      <c r="E622" s="9" t="s">
        <v>541</v>
      </c>
      <c r="F622" s="10" t="s">
        <v>541</v>
      </c>
      <c r="G622" s="6"/>
      <c r="H622" s="5" t="s">
        <v>614</v>
      </c>
    </row>
    <row r="623" spans="1:8" ht="15.75" x14ac:dyDescent="0.25">
      <c r="A623" s="4">
        <v>63001414</v>
      </c>
      <c r="B623" s="4">
        <v>891357004638</v>
      </c>
      <c r="C623" s="5" t="s">
        <v>1815</v>
      </c>
      <c r="D623" s="6" t="s">
        <v>100</v>
      </c>
      <c r="E623" s="5" t="s">
        <v>176</v>
      </c>
      <c r="F623" s="6" t="s">
        <v>155</v>
      </c>
      <c r="G623" s="6">
        <f>_xlfn.XLOOKUP(DATA_TABLE[[#This Row],[Matricule]],GLOBAL!$B$2:$B$351,GLOBAL!$F$2:$F$351,"not found")</f>
        <v>20</v>
      </c>
      <c r="H623" s="5" t="s">
        <v>239</v>
      </c>
    </row>
    <row r="624" spans="1:8" ht="15.75" x14ac:dyDescent="0.25">
      <c r="A624" s="4">
        <v>63001467</v>
      </c>
      <c r="B624" s="4">
        <v>791015005354</v>
      </c>
      <c r="C624" s="5" t="s">
        <v>1816</v>
      </c>
      <c r="D624" s="6" t="s">
        <v>100</v>
      </c>
      <c r="E624" s="5" t="s">
        <v>176</v>
      </c>
      <c r="F624" s="6" t="s">
        <v>155</v>
      </c>
      <c r="G624" s="6"/>
      <c r="H624" s="5" t="s">
        <v>1053</v>
      </c>
    </row>
    <row r="625" spans="1:8" ht="15.75" x14ac:dyDescent="0.25">
      <c r="A625" s="4">
        <v>63001468</v>
      </c>
      <c r="B625" s="4">
        <v>870002070859</v>
      </c>
      <c r="C625" s="5" t="s">
        <v>1817</v>
      </c>
      <c r="D625" s="6" t="s">
        <v>100</v>
      </c>
      <c r="E625" s="5" t="s">
        <v>176</v>
      </c>
      <c r="F625" s="6" t="s">
        <v>155</v>
      </c>
      <c r="G625" s="6"/>
      <c r="H625" s="5" t="s">
        <v>1054</v>
      </c>
    </row>
    <row r="626" spans="1:8" ht="15.75" x14ac:dyDescent="0.25">
      <c r="A626" s="4">
        <v>63001469</v>
      </c>
      <c r="B626" s="4">
        <v>910232021066</v>
      </c>
      <c r="C626" s="5" t="s">
        <v>1818</v>
      </c>
      <c r="D626" s="6" t="s">
        <v>100</v>
      </c>
      <c r="E626" s="5" t="s">
        <v>176</v>
      </c>
      <c r="F626" s="6" t="s">
        <v>155</v>
      </c>
      <c r="G626" s="6"/>
      <c r="H626" s="5" t="s">
        <v>1055</v>
      </c>
    </row>
    <row r="627" spans="1:8" ht="15.75" x14ac:dyDescent="0.25">
      <c r="A627" s="4">
        <v>63001470</v>
      </c>
      <c r="B627" s="4">
        <v>810246032752</v>
      </c>
      <c r="C627" s="5" t="s">
        <v>1819</v>
      </c>
      <c r="D627" s="6" t="s">
        <v>100</v>
      </c>
      <c r="E627" s="5" t="s">
        <v>533</v>
      </c>
      <c r="F627" s="6" t="s">
        <v>161</v>
      </c>
      <c r="G627" s="6"/>
      <c r="H627" s="5" t="s">
        <v>1056</v>
      </c>
    </row>
    <row r="628" spans="1:8" ht="15.75" x14ac:dyDescent="0.25">
      <c r="A628" s="4">
        <v>63001471</v>
      </c>
      <c r="B628" s="4">
        <v>860764003741</v>
      </c>
      <c r="C628" s="5" t="s">
        <v>1820</v>
      </c>
      <c r="D628" s="6" t="s">
        <v>100</v>
      </c>
      <c r="E628" s="5" t="s">
        <v>176</v>
      </c>
      <c r="F628" s="6" t="s">
        <v>155</v>
      </c>
      <c r="G628" s="6"/>
      <c r="H628" s="5" t="s">
        <v>1057</v>
      </c>
    </row>
    <row r="629" spans="1:8" ht="15.75" x14ac:dyDescent="0.25">
      <c r="A629" s="4">
        <v>63001472</v>
      </c>
      <c r="B629" s="4">
        <v>880683011641</v>
      </c>
      <c r="C629" s="5" t="s">
        <v>1821</v>
      </c>
      <c r="D629" s="6" t="s">
        <v>100</v>
      </c>
      <c r="E629" s="5" t="s">
        <v>176</v>
      </c>
      <c r="F629" s="6" t="s">
        <v>155</v>
      </c>
      <c r="G629" s="6">
        <f>_xlfn.XLOOKUP(DATA_TABLE[[#This Row],[Matricule]],GLOBAL!$B$2:$B$351,GLOBAL!$F$2:$F$351,"not found")</f>
        <v>20</v>
      </c>
      <c r="H629" s="5" t="s">
        <v>175</v>
      </c>
    </row>
    <row r="630" spans="1:8" ht="15.75" x14ac:dyDescent="0.25">
      <c r="A630" s="4">
        <v>63001473</v>
      </c>
      <c r="B630" s="4">
        <v>883076002936</v>
      </c>
      <c r="C630" s="5" t="s">
        <v>1822</v>
      </c>
      <c r="D630" s="6" t="s">
        <v>100</v>
      </c>
      <c r="E630" s="5" t="s">
        <v>176</v>
      </c>
      <c r="F630" s="6" t="s">
        <v>155</v>
      </c>
      <c r="G630" s="6"/>
      <c r="H630" s="5" t="s">
        <v>379</v>
      </c>
    </row>
    <row r="631" spans="1:8" ht="15.75" x14ac:dyDescent="0.25">
      <c r="A631" s="4">
        <v>63001474</v>
      </c>
      <c r="B631" s="4">
        <v>840196011843</v>
      </c>
      <c r="C631" s="5" t="s">
        <v>1823</v>
      </c>
      <c r="D631" s="6" t="s">
        <v>100</v>
      </c>
      <c r="E631" s="5" t="s">
        <v>176</v>
      </c>
      <c r="F631" s="6" t="s">
        <v>155</v>
      </c>
      <c r="G631" s="6"/>
      <c r="H631" s="5" t="s">
        <v>1058</v>
      </c>
    </row>
    <row r="632" spans="1:8" ht="15.75" x14ac:dyDescent="0.25">
      <c r="A632" s="4">
        <v>63001516</v>
      </c>
      <c r="B632" s="4">
        <v>920485004937</v>
      </c>
      <c r="C632" s="5" t="s">
        <v>1824</v>
      </c>
      <c r="D632" s="6" t="s">
        <v>100</v>
      </c>
      <c r="E632" s="5" t="s">
        <v>336</v>
      </c>
      <c r="F632" s="6" t="s">
        <v>161</v>
      </c>
      <c r="G632" s="6"/>
      <c r="H632" s="5" t="s">
        <v>1059</v>
      </c>
    </row>
    <row r="633" spans="1:8" ht="15.75" x14ac:dyDescent="0.25">
      <c r="A633" s="4">
        <v>63001528</v>
      </c>
      <c r="B633" s="4">
        <v>931118003554</v>
      </c>
      <c r="C633" s="5" t="s">
        <v>102</v>
      </c>
      <c r="D633" s="6" t="s">
        <v>100</v>
      </c>
      <c r="E633" s="5" t="s">
        <v>176</v>
      </c>
      <c r="F633" s="6" t="s">
        <v>155</v>
      </c>
      <c r="G633" s="6"/>
      <c r="H633" s="5" t="s">
        <v>303</v>
      </c>
    </row>
    <row r="634" spans="1:8" ht="15.75" x14ac:dyDescent="0.25">
      <c r="A634" s="4">
        <v>63001554</v>
      </c>
      <c r="B634" s="4">
        <v>910088037237</v>
      </c>
      <c r="C634" s="5" t="s">
        <v>103</v>
      </c>
      <c r="D634" s="6" t="s">
        <v>100</v>
      </c>
      <c r="E634" s="5" t="s">
        <v>176</v>
      </c>
      <c r="F634" s="6" t="s">
        <v>155</v>
      </c>
      <c r="G634" s="6"/>
      <c r="H634" s="5" t="s">
        <v>1308</v>
      </c>
    </row>
    <row r="635" spans="1:8" ht="15.75" x14ac:dyDescent="0.25">
      <c r="A635" s="4">
        <v>63001561</v>
      </c>
      <c r="B635" s="4">
        <v>908145000249</v>
      </c>
      <c r="C635" s="5" t="s">
        <v>1825</v>
      </c>
      <c r="D635" s="6" t="s">
        <v>100</v>
      </c>
      <c r="E635" s="5" t="s">
        <v>176</v>
      </c>
      <c r="F635" s="6" t="s">
        <v>155</v>
      </c>
      <c r="G635" s="6">
        <f>_xlfn.XLOOKUP(DATA_TABLE[[#This Row],[Matricule]],GLOBAL!$B$2:$B$351,GLOBAL!$F$2:$F$351,"not found")</f>
        <v>20</v>
      </c>
      <c r="H635" s="5" t="s">
        <v>204</v>
      </c>
    </row>
    <row r="636" spans="1:8" ht="15.75" x14ac:dyDescent="0.25">
      <c r="A636" s="4">
        <v>63001562</v>
      </c>
      <c r="B636" s="4">
        <v>926513000750</v>
      </c>
      <c r="C636" s="5" t="s">
        <v>104</v>
      </c>
      <c r="D636" s="6" t="s">
        <v>100</v>
      </c>
      <c r="E636" s="5" t="s">
        <v>176</v>
      </c>
      <c r="F636" s="6" t="s">
        <v>155</v>
      </c>
      <c r="G636" s="6">
        <f>_xlfn.XLOOKUP(DATA_TABLE[[#This Row],[Matricule]],GLOBAL!$B$2:$B$351,GLOBAL!$F$2:$F$351,"not found")</f>
        <v>20</v>
      </c>
      <c r="H636" s="5" t="s">
        <v>279</v>
      </c>
    </row>
    <row r="637" spans="1:8" ht="15.75" x14ac:dyDescent="0.25">
      <c r="A637" s="4">
        <v>63001565</v>
      </c>
      <c r="B637" s="4">
        <v>890451017836</v>
      </c>
      <c r="C637" s="5" t="s">
        <v>1826</v>
      </c>
      <c r="D637" s="6" t="s">
        <v>100</v>
      </c>
      <c r="E637" s="5" t="s">
        <v>262</v>
      </c>
      <c r="F637" s="6" t="s">
        <v>161</v>
      </c>
      <c r="G637" s="6"/>
      <c r="H637" s="5" t="s">
        <v>1060</v>
      </c>
    </row>
    <row r="638" spans="1:8" ht="15.75" x14ac:dyDescent="0.25">
      <c r="A638" s="4">
        <v>63001566</v>
      </c>
      <c r="B638" s="4">
        <v>879912000243</v>
      </c>
      <c r="C638" s="5" t="s">
        <v>1827</v>
      </c>
      <c r="D638" s="6" t="s">
        <v>100</v>
      </c>
      <c r="E638" s="5" t="s">
        <v>206</v>
      </c>
      <c r="F638" s="6" t="s">
        <v>161</v>
      </c>
      <c r="G638" s="6"/>
      <c r="H638" s="5" t="s">
        <v>1061</v>
      </c>
    </row>
    <row r="639" spans="1:8" ht="15.75" x14ac:dyDescent="0.25">
      <c r="A639" s="4">
        <v>63001570</v>
      </c>
      <c r="B639" s="4">
        <v>900258024249</v>
      </c>
      <c r="C639" s="5" t="s">
        <v>1828</v>
      </c>
      <c r="D639" s="6" t="s">
        <v>100</v>
      </c>
      <c r="E639" s="5" t="s">
        <v>521</v>
      </c>
      <c r="F639" s="6" t="s">
        <v>161</v>
      </c>
      <c r="G639" s="6"/>
      <c r="H639" s="5" t="s">
        <v>1062</v>
      </c>
    </row>
    <row r="640" spans="1:8" ht="15.75" x14ac:dyDescent="0.25">
      <c r="A640" s="4">
        <v>63001588</v>
      </c>
      <c r="B640" s="4">
        <v>900500003466</v>
      </c>
      <c r="C640" s="5" t="s">
        <v>105</v>
      </c>
      <c r="D640" s="6" t="s">
        <v>100</v>
      </c>
      <c r="E640" s="5" t="s">
        <v>262</v>
      </c>
      <c r="F640" s="6" t="s">
        <v>161</v>
      </c>
      <c r="G640" s="6">
        <f>_xlfn.XLOOKUP(DATA_TABLE[[#This Row],[Matricule]],GLOBAL!$B$2:$B$351,GLOBAL!$F$2:$F$351,"not found")</f>
        <v>23</v>
      </c>
      <c r="H640" s="5" t="s">
        <v>261</v>
      </c>
    </row>
    <row r="641" spans="1:8" ht="15.75" x14ac:dyDescent="0.25">
      <c r="A641" s="4">
        <v>63001606</v>
      </c>
      <c r="B641" s="4">
        <v>812412001266</v>
      </c>
      <c r="C641" s="5" t="s">
        <v>106</v>
      </c>
      <c r="D641" s="6" t="s">
        <v>100</v>
      </c>
      <c r="E641" s="9" t="s">
        <v>541</v>
      </c>
      <c r="F641" s="10" t="s">
        <v>541</v>
      </c>
      <c r="G641" s="6"/>
      <c r="H641" s="5" t="s">
        <v>1309</v>
      </c>
    </row>
    <row r="642" spans="1:8" ht="15.75" x14ac:dyDescent="0.25">
      <c r="A642" s="4">
        <v>63001657</v>
      </c>
      <c r="B642" s="4">
        <v>901483006638</v>
      </c>
      <c r="C642" s="5" t="s">
        <v>1829</v>
      </c>
      <c r="D642" s="6" t="s">
        <v>100</v>
      </c>
      <c r="E642" s="5" t="s">
        <v>493</v>
      </c>
      <c r="F642" s="6" t="s">
        <v>161</v>
      </c>
      <c r="G642" s="6"/>
      <c r="H642" s="5" t="s">
        <v>1063</v>
      </c>
    </row>
    <row r="643" spans="1:8" ht="15.75" x14ac:dyDescent="0.25">
      <c r="A643" s="4">
        <v>63001663</v>
      </c>
      <c r="B643" s="4">
        <v>901912003357</v>
      </c>
      <c r="C643" s="5" t="s">
        <v>107</v>
      </c>
      <c r="D643" s="6" t="s">
        <v>100</v>
      </c>
      <c r="E643" s="5" t="s">
        <v>336</v>
      </c>
      <c r="F643" s="6" t="s">
        <v>161</v>
      </c>
      <c r="G643" s="6"/>
      <c r="H643" s="5" t="s">
        <v>1310</v>
      </c>
    </row>
    <row r="644" spans="1:8" ht="15.75" x14ac:dyDescent="0.25">
      <c r="A644" s="4">
        <v>63001666</v>
      </c>
      <c r="B644" s="4">
        <v>900325002659</v>
      </c>
      <c r="C644" s="5" t="s">
        <v>1830</v>
      </c>
      <c r="D644" s="6" t="s">
        <v>100</v>
      </c>
      <c r="E644" s="5" t="s">
        <v>464</v>
      </c>
      <c r="F644" s="6" t="s">
        <v>161</v>
      </c>
      <c r="G644" s="6"/>
      <c r="H644" s="5" t="s">
        <v>1064</v>
      </c>
    </row>
    <row r="645" spans="1:8" ht="15.75" x14ac:dyDescent="0.25">
      <c r="A645" s="4">
        <v>63001677</v>
      </c>
      <c r="B645" s="4">
        <v>932791003339</v>
      </c>
      <c r="C645" s="5" t="s">
        <v>108</v>
      </c>
      <c r="D645" s="6" t="s">
        <v>100</v>
      </c>
      <c r="E645" s="5" t="s">
        <v>346</v>
      </c>
      <c r="F645" s="6" t="s">
        <v>161</v>
      </c>
      <c r="G645" s="6"/>
      <c r="H645" s="5" t="s">
        <v>345</v>
      </c>
    </row>
    <row r="646" spans="1:8" ht="15.75" x14ac:dyDescent="0.25">
      <c r="A646" s="4">
        <v>63001686</v>
      </c>
      <c r="B646" s="4">
        <v>923519002350</v>
      </c>
      <c r="C646" s="5" t="s">
        <v>109</v>
      </c>
      <c r="D646" s="6" t="s">
        <v>100</v>
      </c>
      <c r="E646" s="5" t="s">
        <v>262</v>
      </c>
      <c r="F646" s="6" t="s">
        <v>161</v>
      </c>
      <c r="G646" s="6"/>
      <c r="H646" s="5" t="s">
        <v>1311</v>
      </c>
    </row>
    <row r="647" spans="1:8" ht="15.75" x14ac:dyDescent="0.25">
      <c r="A647" s="4">
        <v>63001702</v>
      </c>
      <c r="B647" s="4">
        <v>920099035930</v>
      </c>
      <c r="C647" s="5" t="s">
        <v>1831</v>
      </c>
      <c r="D647" s="6" t="s">
        <v>100</v>
      </c>
      <c r="E647" s="5" t="s">
        <v>339</v>
      </c>
      <c r="F647" s="6" t="s">
        <v>161</v>
      </c>
      <c r="G647" s="6">
        <f>_xlfn.XLOOKUP(DATA_TABLE[[#This Row],[Matricule]],GLOBAL!$B$2:$B$351,GLOBAL!$F$2:$F$351,"not found")</f>
        <v>23</v>
      </c>
      <c r="H647" s="5" t="s">
        <v>338</v>
      </c>
    </row>
    <row r="648" spans="1:8" ht="15.75" x14ac:dyDescent="0.25">
      <c r="A648" s="4">
        <v>63001717</v>
      </c>
      <c r="B648" s="4">
        <v>880399005530</v>
      </c>
      <c r="C648" s="5" t="s">
        <v>1832</v>
      </c>
      <c r="D648" s="6" t="s">
        <v>100</v>
      </c>
      <c r="E648" s="9" t="s">
        <v>541</v>
      </c>
      <c r="F648" s="10" t="s">
        <v>541</v>
      </c>
      <c r="G648" s="6"/>
      <c r="H648" s="5" t="s">
        <v>1065</v>
      </c>
    </row>
    <row r="649" spans="1:8" ht="15.75" x14ac:dyDescent="0.25">
      <c r="A649" s="4">
        <v>63001719</v>
      </c>
      <c r="B649" s="4">
        <v>922129005348</v>
      </c>
      <c r="C649" s="5" t="s">
        <v>1833</v>
      </c>
      <c r="D649" s="6" t="s">
        <v>100</v>
      </c>
      <c r="E649" s="5" t="s">
        <v>164</v>
      </c>
      <c r="F649" s="6" t="s">
        <v>161</v>
      </c>
      <c r="G649" s="6">
        <f>_xlfn.XLOOKUP(DATA_TABLE[[#This Row],[Matricule]],GLOBAL!$B$2:$B$351,GLOBAL!$F$2:$F$351,"not found")</f>
        <v>22</v>
      </c>
      <c r="H649" s="5" t="s">
        <v>163</v>
      </c>
    </row>
    <row r="650" spans="1:8" ht="15.75" x14ac:dyDescent="0.25">
      <c r="A650" s="4">
        <v>63001725</v>
      </c>
      <c r="B650" s="4">
        <v>680527001358</v>
      </c>
      <c r="C650" s="5" t="s">
        <v>1834</v>
      </c>
      <c r="D650" s="6" t="s">
        <v>100</v>
      </c>
      <c r="E650" s="5" t="s">
        <v>539</v>
      </c>
      <c r="F650" s="6" t="s">
        <v>161</v>
      </c>
      <c r="G650" s="6"/>
      <c r="H650" s="5" t="s">
        <v>1066</v>
      </c>
    </row>
    <row r="651" spans="1:8" ht="15.75" x14ac:dyDescent="0.25">
      <c r="A651" s="4">
        <v>63001760</v>
      </c>
      <c r="B651" s="4">
        <v>690546005049</v>
      </c>
      <c r="C651" s="5" t="s">
        <v>1835</v>
      </c>
      <c r="D651" s="6" t="s">
        <v>100</v>
      </c>
      <c r="E651" s="5" t="s">
        <v>215</v>
      </c>
      <c r="F651" s="6" t="s">
        <v>161</v>
      </c>
      <c r="G651" s="6">
        <f>_xlfn.XLOOKUP(DATA_TABLE[[#This Row],[Matricule]],GLOBAL!$B$2:$B$351,GLOBAL!$F$2:$F$351,"not found")</f>
        <v>21</v>
      </c>
      <c r="H651" s="5" t="s">
        <v>214</v>
      </c>
    </row>
    <row r="652" spans="1:8" ht="15.75" x14ac:dyDescent="0.25">
      <c r="A652" s="4">
        <v>63001769</v>
      </c>
      <c r="B652" s="4">
        <v>672792000544</v>
      </c>
      <c r="C652" s="5" t="s">
        <v>1836</v>
      </c>
      <c r="D652" s="6" t="s">
        <v>100</v>
      </c>
      <c r="E652" s="5" t="s">
        <v>215</v>
      </c>
      <c r="F652" s="6" t="s">
        <v>161</v>
      </c>
      <c r="G652" s="6"/>
      <c r="H652" s="5" t="s">
        <v>1067</v>
      </c>
    </row>
    <row r="653" spans="1:8" ht="15.75" x14ac:dyDescent="0.25">
      <c r="A653" s="4">
        <v>63001793</v>
      </c>
      <c r="B653" s="4">
        <v>950235009144</v>
      </c>
      <c r="C653" s="5" t="s">
        <v>1837</v>
      </c>
      <c r="D653" s="6" t="s">
        <v>100</v>
      </c>
      <c r="E653" s="5" t="s">
        <v>176</v>
      </c>
      <c r="F653" s="6" t="s">
        <v>155</v>
      </c>
      <c r="G653" s="6">
        <f>_xlfn.XLOOKUP(DATA_TABLE[[#This Row],[Matricule]],GLOBAL!$B$2:$B$351,GLOBAL!$F$2:$F$351,"not found")</f>
        <v>20</v>
      </c>
      <c r="H653" s="5" t="s">
        <v>240</v>
      </c>
    </row>
    <row r="654" spans="1:8" ht="15.75" x14ac:dyDescent="0.25">
      <c r="A654" s="4">
        <v>63001804</v>
      </c>
      <c r="B654" s="4">
        <v>965484000635</v>
      </c>
      <c r="C654" s="5" t="s">
        <v>1838</v>
      </c>
      <c r="D654" s="6" t="s">
        <v>100</v>
      </c>
      <c r="E654" s="5" t="s">
        <v>176</v>
      </c>
      <c r="F654" s="6" t="s">
        <v>155</v>
      </c>
      <c r="G654" s="6"/>
      <c r="H654" s="5" t="s">
        <v>321</v>
      </c>
    </row>
    <row r="655" spans="1:8" ht="15.75" x14ac:dyDescent="0.25">
      <c r="A655" s="4">
        <v>63001807</v>
      </c>
      <c r="B655" s="4">
        <v>973398000633</v>
      </c>
      <c r="C655" s="5" t="s">
        <v>1839</v>
      </c>
      <c r="D655" s="6" t="s">
        <v>100</v>
      </c>
      <c r="E655" s="5" t="s">
        <v>176</v>
      </c>
      <c r="F655" s="6" t="s">
        <v>155</v>
      </c>
      <c r="G655" s="6">
        <f>_xlfn.XLOOKUP(DATA_TABLE[[#This Row],[Matricule]],GLOBAL!$B$2:$B$351,GLOBAL!$F$2:$F$351,"not found")</f>
        <v>20</v>
      </c>
      <c r="H655" s="5" t="s">
        <v>241</v>
      </c>
    </row>
    <row r="656" spans="1:8" ht="15.75" x14ac:dyDescent="0.25">
      <c r="A656" s="4">
        <v>63001808</v>
      </c>
      <c r="B656" s="4">
        <v>640624001463</v>
      </c>
      <c r="C656" s="5" t="s">
        <v>1840</v>
      </c>
      <c r="D656" s="6" t="s">
        <v>100</v>
      </c>
      <c r="E656" s="5" t="s">
        <v>533</v>
      </c>
      <c r="F656" s="6" t="s">
        <v>161</v>
      </c>
      <c r="G656" s="6"/>
      <c r="H656" s="5" t="s">
        <v>1068</v>
      </c>
    </row>
    <row r="657" spans="1:8" ht="15.75" x14ac:dyDescent="0.25">
      <c r="A657" s="4">
        <v>63001829</v>
      </c>
      <c r="B657" s="4">
        <v>822044002952</v>
      </c>
      <c r="C657" s="5" t="s">
        <v>1841</v>
      </c>
      <c r="D657" s="6" t="s">
        <v>100</v>
      </c>
      <c r="E657" s="5" t="s">
        <v>286</v>
      </c>
      <c r="F657" s="6" t="s">
        <v>161</v>
      </c>
      <c r="G657" s="6"/>
      <c r="H657" s="5" t="s">
        <v>1069</v>
      </c>
    </row>
    <row r="658" spans="1:8" ht="15.75" x14ac:dyDescent="0.25">
      <c r="A658" s="4">
        <v>63001831</v>
      </c>
      <c r="B658" s="4">
        <v>810249020655</v>
      </c>
      <c r="C658" s="5" t="s">
        <v>1842</v>
      </c>
      <c r="D658" s="6" t="s">
        <v>100</v>
      </c>
      <c r="E658" s="5" t="s">
        <v>286</v>
      </c>
      <c r="F658" s="6" t="s">
        <v>161</v>
      </c>
      <c r="G658" s="6"/>
      <c r="H658" s="5" t="s">
        <v>313</v>
      </c>
    </row>
    <row r="659" spans="1:8" ht="15.75" x14ac:dyDescent="0.25">
      <c r="A659" s="4">
        <v>63001843</v>
      </c>
      <c r="B659" s="4">
        <v>687020000259</v>
      </c>
      <c r="C659" s="5" t="s">
        <v>1843</v>
      </c>
      <c r="D659" s="6" t="s">
        <v>100</v>
      </c>
      <c r="E659" s="5" t="s">
        <v>286</v>
      </c>
      <c r="F659" s="6" t="s">
        <v>161</v>
      </c>
      <c r="G659" s="6"/>
      <c r="H659" s="5" t="s">
        <v>1070</v>
      </c>
    </row>
    <row r="660" spans="1:8" ht="15.75" x14ac:dyDescent="0.25">
      <c r="A660" s="4">
        <v>63001883</v>
      </c>
      <c r="B660" s="4">
        <v>760372011354</v>
      </c>
      <c r="C660" s="5" t="s">
        <v>1844</v>
      </c>
      <c r="D660" s="6" t="s">
        <v>100</v>
      </c>
      <c r="E660" s="5" t="s">
        <v>521</v>
      </c>
      <c r="F660" s="6" t="s">
        <v>161</v>
      </c>
      <c r="G660" s="6"/>
      <c r="H660" s="5" t="s">
        <v>1071</v>
      </c>
    </row>
    <row r="661" spans="1:8" ht="15.75" x14ac:dyDescent="0.25">
      <c r="A661" s="4">
        <v>63001885</v>
      </c>
      <c r="B661" s="4">
        <v>761255003351</v>
      </c>
      <c r="C661" s="5" t="s">
        <v>1845</v>
      </c>
      <c r="D661" s="6" t="s">
        <v>100</v>
      </c>
      <c r="E661" s="5" t="s">
        <v>521</v>
      </c>
      <c r="F661" s="6" t="s">
        <v>161</v>
      </c>
      <c r="G661" s="6"/>
      <c r="H661" s="5" t="s">
        <v>1072</v>
      </c>
    </row>
    <row r="662" spans="1:8" ht="15.75" x14ac:dyDescent="0.25">
      <c r="A662" s="4">
        <v>63001886</v>
      </c>
      <c r="B662" s="4">
        <v>770315013754</v>
      </c>
      <c r="C662" s="5" t="s">
        <v>2127</v>
      </c>
      <c r="D662" s="6" t="s">
        <v>100</v>
      </c>
      <c r="E662" s="5" t="s">
        <v>535</v>
      </c>
      <c r="F662" s="6" t="s">
        <v>161</v>
      </c>
      <c r="G662" s="6"/>
      <c r="H662" s="5" t="s">
        <v>615</v>
      </c>
    </row>
    <row r="663" spans="1:8" ht="15.75" x14ac:dyDescent="0.25">
      <c r="A663" s="4">
        <v>63001907</v>
      </c>
      <c r="B663" s="4">
        <v>753864000248</v>
      </c>
      <c r="C663" s="5" t="s">
        <v>1846</v>
      </c>
      <c r="D663" s="6" t="s">
        <v>100</v>
      </c>
      <c r="E663" s="5" t="s">
        <v>536</v>
      </c>
      <c r="F663" s="6" t="s">
        <v>161</v>
      </c>
      <c r="G663" s="6"/>
      <c r="H663" s="5" t="s">
        <v>1073</v>
      </c>
    </row>
    <row r="664" spans="1:8" ht="15.75" x14ac:dyDescent="0.25">
      <c r="A664" s="4">
        <v>63001910</v>
      </c>
      <c r="B664" s="4">
        <v>761069003545</v>
      </c>
      <c r="C664" s="5" t="s">
        <v>1847</v>
      </c>
      <c r="D664" s="6" t="s">
        <v>100</v>
      </c>
      <c r="E664" s="5" t="s">
        <v>521</v>
      </c>
      <c r="F664" s="6" t="s">
        <v>161</v>
      </c>
      <c r="G664" s="6"/>
      <c r="H664" s="5" t="s">
        <v>1074</v>
      </c>
    </row>
    <row r="665" spans="1:8" ht="15.75" x14ac:dyDescent="0.25">
      <c r="A665" s="4">
        <v>63001917</v>
      </c>
      <c r="B665" s="4">
        <v>740318009743</v>
      </c>
      <c r="C665" s="5" t="s">
        <v>1848</v>
      </c>
      <c r="D665" s="6" t="s">
        <v>100</v>
      </c>
      <c r="E665" s="9" t="s">
        <v>541</v>
      </c>
      <c r="F665" s="10" t="s">
        <v>541</v>
      </c>
      <c r="G665" s="6"/>
      <c r="H665" s="5" t="s">
        <v>1075</v>
      </c>
    </row>
    <row r="666" spans="1:8" ht="15.75" x14ac:dyDescent="0.25">
      <c r="A666" s="4">
        <v>63001942</v>
      </c>
      <c r="B666" s="4">
        <v>810714007946</v>
      </c>
      <c r="C666" s="5" t="s">
        <v>1849</v>
      </c>
      <c r="D666" s="6" t="s">
        <v>100</v>
      </c>
      <c r="E666" s="5" t="s">
        <v>537</v>
      </c>
      <c r="F666" s="6" t="s">
        <v>161</v>
      </c>
      <c r="G666" s="6"/>
      <c r="H666" s="5" t="s">
        <v>1076</v>
      </c>
    </row>
    <row r="667" spans="1:8" ht="15.75" x14ac:dyDescent="0.25">
      <c r="A667" s="4">
        <v>63004789</v>
      </c>
      <c r="B667" s="4">
        <v>946460000445</v>
      </c>
      <c r="C667" s="5" t="s">
        <v>1850</v>
      </c>
      <c r="D667" s="6" t="s">
        <v>100</v>
      </c>
      <c r="E667" s="5" t="s">
        <v>164</v>
      </c>
      <c r="F667" s="6" t="s">
        <v>161</v>
      </c>
      <c r="G667" s="6"/>
      <c r="H667" s="5" t="s">
        <v>1077</v>
      </c>
    </row>
    <row r="668" spans="1:8" ht="15.75" x14ac:dyDescent="0.25">
      <c r="A668" s="4">
        <v>63010875</v>
      </c>
      <c r="B668" s="4">
        <v>910034047646</v>
      </c>
      <c r="C668" s="5" t="s">
        <v>110</v>
      </c>
      <c r="D668" s="6" t="s">
        <v>100</v>
      </c>
      <c r="E668" s="5" t="s">
        <v>176</v>
      </c>
      <c r="F668" s="6" t="s">
        <v>155</v>
      </c>
      <c r="G668" s="6">
        <f>_xlfn.XLOOKUP(DATA_TABLE[[#This Row],[Matricule]],GLOBAL!$B$2:$B$351,GLOBAL!$F$2:$F$351,"not found")</f>
        <v>20</v>
      </c>
      <c r="H668" s="5" t="s">
        <v>258</v>
      </c>
    </row>
    <row r="669" spans="1:8" ht="15.75" x14ac:dyDescent="0.25">
      <c r="A669" s="4">
        <v>63010973</v>
      </c>
      <c r="B669" s="4">
        <v>962250005445</v>
      </c>
      <c r="C669" s="5" t="s">
        <v>111</v>
      </c>
      <c r="D669" s="6" t="s">
        <v>100</v>
      </c>
      <c r="E669" s="5" t="s">
        <v>526</v>
      </c>
      <c r="F669" s="6" t="s">
        <v>155</v>
      </c>
      <c r="G669" s="6"/>
      <c r="H669" s="5" t="s">
        <v>1312</v>
      </c>
    </row>
    <row r="670" spans="1:8" ht="15.75" x14ac:dyDescent="0.25">
      <c r="A670" s="4">
        <v>63013711</v>
      </c>
      <c r="B670" s="4">
        <v>722410000766</v>
      </c>
      <c r="C670" s="5" t="s">
        <v>1851</v>
      </c>
      <c r="D670" s="6" t="s">
        <v>100</v>
      </c>
      <c r="E670" s="5" t="s">
        <v>534</v>
      </c>
      <c r="F670" s="6" t="s">
        <v>161</v>
      </c>
      <c r="G670" s="6"/>
      <c r="H670" s="5" t="s">
        <v>1078</v>
      </c>
    </row>
    <row r="671" spans="1:8" ht="15.75" x14ac:dyDescent="0.25">
      <c r="A671" s="4">
        <v>63036923</v>
      </c>
      <c r="B671" s="4">
        <v>916987000234</v>
      </c>
      <c r="C671" s="5" t="s">
        <v>1852</v>
      </c>
      <c r="D671" s="6" t="s">
        <v>100</v>
      </c>
      <c r="E671" s="5" t="s">
        <v>538</v>
      </c>
      <c r="F671" s="6" t="s">
        <v>161</v>
      </c>
      <c r="G671" s="6"/>
      <c r="H671" s="5" t="s">
        <v>1079</v>
      </c>
    </row>
    <row r="672" spans="1:8" ht="15.75" x14ac:dyDescent="0.25">
      <c r="A672" s="4">
        <v>63001572</v>
      </c>
      <c r="B672" s="4">
        <v>914966001043</v>
      </c>
      <c r="C672" s="5" t="s">
        <v>1853</v>
      </c>
      <c r="D672" s="6" t="s">
        <v>16</v>
      </c>
      <c r="E672" s="5" t="s">
        <v>196</v>
      </c>
      <c r="F672" s="6" t="s">
        <v>161</v>
      </c>
      <c r="G672" s="6"/>
      <c r="H672" s="5" t="s">
        <v>1080</v>
      </c>
    </row>
    <row r="673" spans="1:8" ht="15.75" x14ac:dyDescent="0.25">
      <c r="A673" s="4">
        <v>63001618</v>
      </c>
      <c r="B673" s="4">
        <v>732620000464</v>
      </c>
      <c r="C673" s="5" t="s">
        <v>1854</v>
      </c>
      <c r="D673" s="6" t="s">
        <v>16</v>
      </c>
      <c r="E673" s="5" t="s">
        <v>528</v>
      </c>
      <c r="F673" s="6" t="s">
        <v>155</v>
      </c>
      <c r="G673" s="6"/>
      <c r="H673" s="5" t="s">
        <v>1081</v>
      </c>
    </row>
    <row r="674" spans="1:8" ht="15.75" x14ac:dyDescent="0.25">
      <c r="A674" s="4">
        <v>63001665</v>
      </c>
      <c r="B674" s="4">
        <v>927466000439</v>
      </c>
      <c r="C674" s="5" t="s">
        <v>2128</v>
      </c>
      <c r="D674" s="6" t="s">
        <v>16</v>
      </c>
      <c r="E674" s="5" t="s">
        <v>464</v>
      </c>
      <c r="F674" s="6" t="s">
        <v>161</v>
      </c>
      <c r="G674" s="6"/>
      <c r="H674" s="5" t="s">
        <v>616</v>
      </c>
    </row>
    <row r="675" spans="1:8" ht="15.75" x14ac:dyDescent="0.25">
      <c r="A675" s="4">
        <v>63001667</v>
      </c>
      <c r="B675" s="4">
        <v>914577001836</v>
      </c>
      <c r="C675" s="5" t="s">
        <v>1855</v>
      </c>
      <c r="D675" s="6" t="s">
        <v>16</v>
      </c>
      <c r="E675" s="5" t="s">
        <v>464</v>
      </c>
      <c r="F675" s="6" t="s">
        <v>161</v>
      </c>
      <c r="G675" s="6"/>
      <c r="H675" s="5" t="s">
        <v>1082</v>
      </c>
    </row>
    <row r="676" spans="1:8" ht="15.75" x14ac:dyDescent="0.25">
      <c r="A676" s="4">
        <v>63001668</v>
      </c>
      <c r="B676" s="4">
        <v>931400001664</v>
      </c>
      <c r="C676" s="5" t="s">
        <v>112</v>
      </c>
      <c r="D676" s="6" t="s">
        <v>16</v>
      </c>
      <c r="E676" s="5" t="s">
        <v>301</v>
      </c>
      <c r="F676" s="6" t="s">
        <v>161</v>
      </c>
      <c r="G676" s="6"/>
      <c r="H676" s="5" t="s">
        <v>1313</v>
      </c>
    </row>
    <row r="677" spans="1:8" ht="15.75" x14ac:dyDescent="0.25">
      <c r="A677" s="4">
        <v>63001681</v>
      </c>
      <c r="B677" s="4">
        <v>910688004933</v>
      </c>
      <c r="C677" s="5" t="s">
        <v>1856</v>
      </c>
      <c r="D677" s="6" t="s">
        <v>16</v>
      </c>
      <c r="E677" s="5" t="s">
        <v>356</v>
      </c>
      <c r="F677" s="6" t="s">
        <v>161</v>
      </c>
      <c r="G677" s="6"/>
      <c r="H677" s="5" t="s">
        <v>355</v>
      </c>
    </row>
    <row r="678" spans="1:8" ht="15.75" x14ac:dyDescent="0.25">
      <c r="A678" s="4">
        <v>63001846</v>
      </c>
      <c r="B678" s="4">
        <v>737881000142</v>
      </c>
      <c r="C678" s="5" t="s">
        <v>1857</v>
      </c>
      <c r="D678" s="6" t="s">
        <v>16</v>
      </c>
      <c r="E678" s="9" t="s">
        <v>541</v>
      </c>
      <c r="F678" s="10" t="s">
        <v>541</v>
      </c>
      <c r="G678" s="6"/>
      <c r="H678" s="5" t="s">
        <v>1083</v>
      </c>
    </row>
    <row r="679" spans="1:8" ht="15.75" x14ac:dyDescent="0.25">
      <c r="A679" s="4">
        <v>63001853</v>
      </c>
      <c r="B679" s="4">
        <v>711232000765</v>
      </c>
      <c r="C679" s="5" t="s">
        <v>1858</v>
      </c>
      <c r="D679" s="6" t="s">
        <v>16</v>
      </c>
      <c r="E679" s="5" t="s">
        <v>469</v>
      </c>
      <c r="F679" s="6" t="s">
        <v>161</v>
      </c>
      <c r="G679" s="6"/>
      <c r="H679" s="5" t="s">
        <v>1084</v>
      </c>
    </row>
    <row r="680" spans="1:8" ht="15.75" x14ac:dyDescent="0.25">
      <c r="A680" s="4">
        <v>63001906</v>
      </c>
      <c r="B680" s="4">
        <v>730575001947</v>
      </c>
      <c r="C680" s="5" t="s">
        <v>1859</v>
      </c>
      <c r="D680" s="6" t="s">
        <v>16</v>
      </c>
      <c r="E680" s="5" t="s">
        <v>524</v>
      </c>
      <c r="F680" s="6" t="s">
        <v>161</v>
      </c>
      <c r="G680" s="6"/>
      <c r="H680" s="5" t="s">
        <v>1085</v>
      </c>
    </row>
    <row r="681" spans="1:8" ht="15.75" x14ac:dyDescent="0.25">
      <c r="A681" s="4">
        <v>63001943</v>
      </c>
      <c r="B681" s="4">
        <v>810885004441</v>
      </c>
      <c r="C681" s="5" t="s">
        <v>1860</v>
      </c>
      <c r="D681" s="6" t="s">
        <v>16</v>
      </c>
      <c r="E681" s="5" t="s">
        <v>525</v>
      </c>
      <c r="F681" s="6" t="s">
        <v>161</v>
      </c>
      <c r="G681" s="6">
        <f>_xlfn.XLOOKUP(DATA_TABLE[[#This Row],[Matricule]],GLOBAL!$B$2:$B$351,GLOBAL!$F$2:$F$351,"not found")</f>
        <v>21</v>
      </c>
      <c r="H681" s="5" t="s">
        <v>180</v>
      </c>
    </row>
    <row r="682" spans="1:8" ht="15.75" x14ac:dyDescent="0.25">
      <c r="A682" s="4">
        <v>63001946</v>
      </c>
      <c r="B682" s="4">
        <v>812918000554</v>
      </c>
      <c r="C682" s="5" t="s">
        <v>1861</v>
      </c>
      <c r="D682" s="6" t="s">
        <v>16</v>
      </c>
      <c r="E682" s="5" t="s">
        <v>527</v>
      </c>
      <c r="F682" s="6" t="s">
        <v>161</v>
      </c>
      <c r="G682" s="6"/>
      <c r="H682" s="5" t="s">
        <v>1086</v>
      </c>
    </row>
    <row r="683" spans="1:8" ht="15.75" x14ac:dyDescent="0.25">
      <c r="A683" s="4">
        <v>63012459</v>
      </c>
      <c r="B683" s="4">
        <v>933670001446</v>
      </c>
      <c r="C683" s="5" t="s">
        <v>1862</v>
      </c>
      <c r="D683" s="6" t="s">
        <v>16</v>
      </c>
      <c r="E683" s="9" t="s">
        <v>541</v>
      </c>
      <c r="F683" s="10" t="s">
        <v>541</v>
      </c>
      <c r="G683" s="6"/>
      <c r="H683" s="5" t="s">
        <v>1087</v>
      </c>
    </row>
    <row r="684" spans="1:8" ht="15.75" x14ac:dyDescent="0.25">
      <c r="A684" s="4">
        <v>63036944</v>
      </c>
      <c r="B684" s="4">
        <v>971091011743</v>
      </c>
      <c r="C684" s="5" t="s">
        <v>1863</v>
      </c>
      <c r="D684" s="6" t="s">
        <v>16</v>
      </c>
      <c r="E684" s="5" t="s">
        <v>356</v>
      </c>
      <c r="F684" s="6" t="s">
        <v>161</v>
      </c>
      <c r="G684" s="6"/>
      <c r="H684" s="5" t="s">
        <v>1088</v>
      </c>
    </row>
    <row r="685" spans="1:8" ht="15.75" x14ac:dyDescent="0.25">
      <c r="A685" s="4">
        <v>63001308</v>
      </c>
      <c r="B685" s="4">
        <v>851776002936</v>
      </c>
      <c r="C685" s="5" t="s">
        <v>113</v>
      </c>
      <c r="D685" s="6" t="s">
        <v>15</v>
      </c>
      <c r="E685" s="5" t="s">
        <v>511</v>
      </c>
      <c r="F685" s="6" t="s">
        <v>161</v>
      </c>
      <c r="G685" s="6"/>
      <c r="H685" s="5" t="s">
        <v>1314</v>
      </c>
    </row>
    <row r="686" spans="1:8" ht="15.75" x14ac:dyDescent="0.25">
      <c r="A686" s="4">
        <v>63001321</v>
      </c>
      <c r="B686" s="4">
        <v>805382000448</v>
      </c>
      <c r="C686" s="5" t="s">
        <v>1864</v>
      </c>
      <c r="D686" s="6" t="s">
        <v>15</v>
      </c>
      <c r="E686" s="9" t="s">
        <v>541</v>
      </c>
      <c r="F686" s="10" t="s">
        <v>541</v>
      </c>
      <c r="G686" s="6"/>
      <c r="H686" s="5" t="s">
        <v>1089</v>
      </c>
    </row>
    <row r="687" spans="1:8" ht="15.75" x14ac:dyDescent="0.25">
      <c r="A687" s="4">
        <v>63001629</v>
      </c>
      <c r="B687" s="4">
        <v>812223003657</v>
      </c>
      <c r="C687" s="5" t="s">
        <v>1865</v>
      </c>
      <c r="D687" s="6" t="s">
        <v>15</v>
      </c>
      <c r="E687" s="5" t="s">
        <v>512</v>
      </c>
      <c r="F687" s="6" t="s">
        <v>161</v>
      </c>
      <c r="G687" s="6"/>
      <c r="H687" s="5" t="s">
        <v>1090</v>
      </c>
    </row>
    <row r="688" spans="1:8" ht="15.75" x14ac:dyDescent="0.25">
      <c r="A688" s="4">
        <v>63001638</v>
      </c>
      <c r="B688" s="4">
        <v>958800000349</v>
      </c>
      <c r="C688" s="5" t="s">
        <v>1866</v>
      </c>
      <c r="D688" s="6" t="s">
        <v>15</v>
      </c>
      <c r="E688" s="5" t="s">
        <v>511</v>
      </c>
      <c r="F688" s="6" t="s">
        <v>161</v>
      </c>
      <c r="G688" s="6"/>
      <c r="H688" s="5" t="s">
        <v>1091</v>
      </c>
    </row>
    <row r="689" spans="1:8" ht="15.75" x14ac:dyDescent="0.25">
      <c r="A689" s="4">
        <v>63001654</v>
      </c>
      <c r="B689" s="4">
        <v>890770006140</v>
      </c>
      <c r="C689" s="5" t="s">
        <v>1867</v>
      </c>
      <c r="D689" s="6" t="s">
        <v>15</v>
      </c>
      <c r="E689" s="5" t="s">
        <v>510</v>
      </c>
      <c r="F689" s="6" t="s">
        <v>155</v>
      </c>
      <c r="G689" s="6"/>
      <c r="H689" s="5" t="s">
        <v>1092</v>
      </c>
    </row>
    <row r="690" spans="1:8" ht="15.75" x14ac:dyDescent="0.25">
      <c r="A690" s="4">
        <v>63001762</v>
      </c>
      <c r="B690" s="4">
        <v>612230001171</v>
      </c>
      <c r="C690" s="5" t="s">
        <v>1868</v>
      </c>
      <c r="D690" s="6" t="s">
        <v>15</v>
      </c>
      <c r="E690" s="9" t="s">
        <v>541</v>
      </c>
      <c r="F690" s="10" t="s">
        <v>541</v>
      </c>
      <c r="G690" s="6"/>
      <c r="H690" s="5" t="s">
        <v>1093</v>
      </c>
    </row>
    <row r="691" spans="1:8" ht="15.75" x14ac:dyDescent="0.25">
      <c r="A691" s="4">
        <v>63001828</v>
      </c>
      <c r="B691" s="4">
        <v>710774000653</v>
      </c>
      <c r="C691" s="5" t="s">
        <v>1869</v>
      </c>
      <c r="D691" s="6" t="s">
        <v>15</v>
      </c>
      <c r="E691" s="5" t="s">
        <v>513</v>
      </c>
      <c r="F691" s="6" t="s">
        <v>161</v>
      </c>
      <c r="G691" s="6"/>
      <c r="H691" s="5" t="s">
        <v>1094</v>
      </c>
    </row>
    <row r="692" spans="1:8" ht="15.75" x14ac:dyDescent="0.25">
      <c r="A692" s="4">
        <v>63004756</v>
      </c>
      <c r="B692" s="4">
        <v>950091031151</v>
      </c>
      <c r="C692" s="5" t="s">
        <v>1870</v>
      </c>
      <c r="D692" s="6" t="s">
        <v>15</v>
      </c>
      <c r="E692" s="5" t="s">
        <v>209</v>
      </c>
      <c r="F692" s="6" t="s">
        <v>155</v>
      </c>
      <c r="G692" s="6"/>
      <c r="H692" s="5" t="s">
        <v>1095</v>
      </c>
    </row>
    <row r="693" spans="1:8" ht="15.75" x14ac:dyDescent="0.25">
      <c r="A693" s="4">
        <v>63004757</v>
      </c>
      <c r="B693" s="4">
        <v>962239000846</v>
      </c>
      <c r="C693" s="5" t="s">
        <v>2129</v>
      </c>
      <c r="D693" s="6" t="s">
        <v>15</v>
      </c>
      <c r="E693" s="5" t="s">
        <v>209</v>
      </c>
      <c r="F693" s="6" t="s">
        <v>155</v>
      </c>
      <c r="G693" s="6"/>
      <c r="H693" s="5" t="s">
        <v>617</v>
      </c>
    </row>
    <row r="694" spans="1:8" ht="15.75" x14ac:dyDescent="0.25">
      <c r="A694" s="4">
        <v>63004759</v>
      </c>
      <c r="B694" s="4">
        <v>910636010358</v>
      </c>
      <c r="C694" s="5" t="s">
        <v>2130</v>
      </c>
      <c r="D694" s="6" t="s">
        <v>15</v>
      </c>
      <c r="E694" s="5" t="s">
        <v>209</v>
      </c>
      <c r="F694" s="6" t="s">
        <v>155</v>
      </c>
      <c r="G694" s="6"/>
      <c r="H694" s="5" t="s">
        <v>618</v>
      </c>
    </row>
    <row r="695" spans="1:8" ht="15.75" x14ac:dyDescent="0.25">
      <c r="A695" s="4">
        <v>63004760</v>
      </c>
      <c r="B695" s="4">
        <v>989662000332</v>
      </c>
      <c r="C695" s="5" t="s">
        <v>1871</v>
      </c>
      <c r="D695" s="6" t="s">
        <v>15</v>
      </c>
      <c r="E695" s="5" t="s">
        <v>209</v>
      </c>
      <c r="F695" s="6" t="s">
        <v>155</v>
      </c>
      <c r="G695" s="6"/>
      <c r="H695" s="5" t="s">
        <v>1096</v>
      </c>
    </row>
    <row r="696" spans="1:8" ht="15.75" x14ac:dyDescent="0.25">
      <c r="A696" s="4">
        <v>63004955</v>
      </c>
      <c r="B696" s="4">
        <v>783656000445</v>
      </c>
      <c r="C696" s="5" t="s">
        <v>114</v>
      </c>
      <c r="D696" s="6" t="s">
        <v>15</v>
      </c>
      <c r="E696" s="5" t="s">
        <v>509</v>
      </c>
      <c r="F696" s="6" t="s">
        <v>161</v>
      </c>
      <c r="G696" s="6"/>
      <c r="H696" s="5" t="s">
        <v>1315</v>
      </c>
    </row>
    <row r="697" spans="1:8" ht="15.75" x14ac:dyDescent="0.25">
      <c r="A697" s="4">
        <v>63004965</v>
      </c>
      <c r="B697" s="4">
        <v>764706000256</v>
      </c>
      <c r="C697" s="5" t="s">
        <v>1872</v>
      </c>
      <c r="D697" s="6" t="s">
        <v>15</v>
      </c>
      <c r="E697" s="5" t="s">
        <v>509</v>
      </c>
      <c r="F697" s="6" t="s">
        <v>161</v>
      </c>
      <c r="G697" s="6"/>
      <c r="H697" s="5" t="s">
        <v>1097</v>
      </c>
    </row>
    <row r="698" spans="1:8" ht="15.75" x14ac:dyDescent="0.25">
      <c r="A698" s="4">
        <v>63010877</v>
      </c>
      <c r="B698" s="4">
        <v>817422000553</v>
      </c>
      <c r="C698" s="5" t="s">
        <v>115</v>
      </c>
      <c r="D698" s="6" t="s">
        <v>15</v>
      </c>
      <c r="E698" s="5" t="s">
        <v>509</v>
      </c>
      <c r="F698" s="6" t="s">
        <v>161</v>
      </c>
      <c r="G698" s="6"/>
      <c r="H698" s="5" t="s">
        <v>1316</v>
      </c>
    </row>
    <row r="699" spans="1:8" ht="15.75" x14ac:dyDescent="0.25">
      <c r="A699" s="4">
        <v>63010922</v>
      </c>
      <c r="B699" s="4">
        <v>954443000845</v>
      </c>
      <c r="C699" s="5" t="s">
        <v>1873</v>
      </c>
      <c r="D699" s="6" t="s">
        <v>15</v>
      </c>
      <c r="E699" s="5" t="s">
        <v>508</v>
      </c>
      <c r="F699" s="6" t="s">
        <v>231</v>
      </c>
      <c r="G699" s="6"/>
      <c r="H699" s="5" t="s">
        <v>1098</v>
      </c>
    </row>
    <row r="700" spans="1:8" ht="15.75" x14ac:dyDescent="0.25">
      <c r="A700" s="4">
        <v>63010968</v>
      </c>
      <c r="B700" s="4">
        <v>981092010248</v>
      </c>
      <c r="C700" s="5" t="s">
        <v>2131</v>
      </c>
      <c r="D700" s="6" t="s">
        <v>15</v>
      </c>
      <c r="E700" s="5" t="s">
        <v>251</v>
      </c>
      <c r="F700" s="6" t="s">
        <v>155</v>
      </c>
      <c r="G700" s="6"/>
      <c r="H700" s="5" t="s">
        <v>619</v>
      </c>
    </row>
    <row r="701" spans="1:8" ht="15.75" x14ac:dyDescent="0.25">
      <c r="A701" s="4">
        <v>63030548</v>
      </c>
      <c r="B701" s="4">
        <v>951020010564</v>
      </c>
      <c r="C701" s="5" t="s">
        <v>1874</v>
      </c>
      <c r="D701" s="6" t="s">
        <v>15</v>
      </c>
      <c r="E701" s="5" t="s">
        <v>209</v>
      </c>
      <c r="F701" s="6" t="s">
        <v>155</v>
      </c>
      <c r="G701" s="6">
        <f>_xlfn.XLOOKUP(DATA_TABLE[[#This Row],[Matricule]],GLOBAL!$B$2:$B$351,GLOBAL!$F$2:$F$351,"not found")</f>
        <v>20</v>
      </c>
      <c r="H701" s="5" t="s">
        <v>384</v>
      </c>
    </row>
    <row r="702" spans="1:8" ht="15.75" x14ac:dyDescent="0.25">
      <c r="A702" s="4">
        <v>63001332</v>
      </c>
      <c r="B702" s="4">
        <v>882261002151</v>
      </c>
      <c r="C702" s="5" t="s">
        <v>1875</v>
      </c>
      <c r="D702" s="6" t="s">
        <v>116</v>
      </c>
      <c r="E702" s="5" t="s">
        <v>199</v>
      </c>
      <c r="F702" s="6" t="s">
        <v>161</v>
      </c>
      <c r="G702" s="6"/>
      <c r="H702" s="5" t="s">
        <v>1099</v>
      </c>
    </row>
    <row r="703" spans="1:8" ht="15.75" x14ac:dyDescent="0.25">
      <c r="A703" s="4">
        <v>63001333</v>
      </c>
      <c r="B703" s="4">
        <v>900499010742</v>
      </c>
      <c r="C703" s="5" t="s">
        <v>1876</v>
      </c>
      <c r="D703" s="6" t="s">
        <v>116</v>
      </c>
      <c r="E703" s="9" t="s">
        <v>541</v>
      </c>
      <c r="F703" s="10" t="s">
        <v>541</v>
      </c>
      <c r="G703" s="6"/>
      <c r="H703" s="5" t="s">
        <v>1100</v>
      </c>
    </row>
    <row r="704" spans="1:8" ht="15.75" x14ac:dyDescent="0.25">
      <c r="A704" s="4">
        <v>63001334</v>
      </c>
      <c r="B704" s="4">
        <v>870080010752</v>
      </c>
      <c r="C704" s="5" t="s">
        <v>1877</v>
      </c>
      <c r="D704" s="6" t="s">
        <v>116</v>
      </c>
      <c r="E704" s="5" t="s">
        <v>199</v>
      </c>
      <c r="F704" s="6" t="s">
        <v>161</v>
      </c>
      <c r="G704" s="6"/>
      <c r="H704" s="5" t="s">
        <v>1101</v>
      </c>
    </row>
    <row r="705" spans="1:8" ht="15.75" x14ac:dyDescent="0.25">
      <c r="A705" s="4">
        <v>63001335</v>
      </c>
      <c r="B705" s="4">
        <v>882431003450</v>
      </c>
      <c r="C705" s="5" t="s">
        <v>1878</v>
      </c>
      <c r="D705" s="6" t="s">
        <v>116</v>
      </c>
      <c r="E705" s="5" t="s">
        <v>199</v>
      </c>
      <c r="F705" s="6" t="s">
        <v>161</v>
      </c>
      <c r="G705" s="6"/>
      <c r="H705" s="5" t="s">
        <v>1102</v>
      </c>
    </row>
    <row r="706" spans="1:8" ht="15.75" x14ac:dyDescent="0.25">
      <c r="A706" s="4">
        <v>63001336</v>
      </c>
      <c r="B706" s="4">
        <v>900108018253</v>
      </c>
      <c r="C706" s="5" t="s">
        <v>1879</v>
      </c>
      <c r="D706" s="6" t="s">
        <v>116</v>
      </c>
      <c r="E706" s="5" t="s">
        <v>189</v>
      </c>
      <c r="F706" s="6" t="s">
        <v>161</v>
      </c>
      <c r="G706" s="6"/>
      <c r="H706" s="5" t="s">
        <v>1103</v>
      </c>
    </row>
    <row r="707" spans="1:8" ht="15.75" x14ac:dyDescent="0.25">
      <c r="A707" s="4">
        <v>63001337</v>
      </c>
      <c r="B707" s="4">
        <v>890042008543</v>
      </c>
      <c r="C707" s="5" t="s">
        <v>1880</v>
      </c>
      <c r="D707" s="6" t="s">
        <v>116</v>
      </c>
      <c r="E707" s="5" t="s">
        <v>189</v>
      </c>
      <c r="F707" s="6" t="s">
        <v>161</v>
      </c>
      <c r="G707" s="6">
        <f>_xlfn.XLOOKUP(DATA_TABLE[[#This Row],[Matricule]],GLOBAL!$B$2:$B$351,GLOBAL!$F$2:$F$351,"not found")</f>
        <v>22</v>
      </c>
      <c r="H707" s="5" t="s">
        <v>188</v>
      </c>
    </row>
    <row r="708" spans="1:8" ht="15.75" x14ac:dyDescent="0.25">
      <c r="A708" s="4">
        <v>63001338</v>
      </c>
      <c r="B708" s="4">
        <v>892776002138</v>
      </c>
      <c r="C708" s="5" t="s">
        <v>1881</v>
      </c>
      <c r="D708" s="6" t="s">
        <v>116</v>
      </c>
      <c r="E708" s="5" t="s">
        <v>199</v>
      </c>
      <c r="F708" s="6" t="s">
        <v>161</v>
      </c>
      <c r="G708" s="6"/>
      <c r="H708" s="5" t="s">
        <v>1104</v>
      </c>
    </row>
    <row r="709" spans="1:8" ht="15.75" x14ac:dyDescent="0.25">
      <c r="A709" s="4">
        <v>63001339</v>
      </c>
      <c r="B709" s="4">
        <v>850327011853</v>
      </c>
      <c r="C709" s="5" t="s">
        <v>1882</v>
      </c>
      <c r="D709" s="6" t="s">
        <v>116</v>
      </c>
      <c r="E709" s="5" t="s">
        <v>189</v>
      </c>
      <c r="F709" s="6" t="s">
        <v>161</v>
      </c>
      <c r="G709" s="6"/>
      <c r="H709" s="5" t="s">
        <v>1105</v>
      </c>
    </row>
    <row r="710" spans="1:8" ht="15.75" x14ac:dyDescent="0.25">
      <c r="A710" s="4">
        <v>63001341</v>
      </c>
      <c r="B710" s="4">
        <v>880958009624</v>
      </c>
      <c r="C710" s="5" t="s">
        <v>117</v>
      </c>
      <c r="D710" s="6" t="s">
        <v>116</v>
      </c>
      <c r="E710" s="5" t="s">
        <v>520</v>
      </c>
      <c r="F710" s="6" t="s">
        <v>161</v>
      </c>
      <c r="G710" s="6"/>
      <c r="H710" s="5" t="s">
        <v>1317</v>
      </c>
    </row>
    <row r="711" spans="1:8" ht="15.75" x14ac:dyDescent="0.25">
      <c r="A711" s="4">
        <v>63001342</v>
      </c>
      <c r="B711" s="4">
        <v>870083049629</v>
      </c>
      <c r="C711" s="5" t="s">
        <v>1883</v>
      </c>
      <c r="D711" s="6" t="s">
        <v>116</v>
      </c>
      <c r="E711" s="5" t="s">
        <v>189</v>
      </c>
      <c r="F711" s="6" t="s">
        <v>161</v>
      </c>
      <c r="G711" s="6"/>
      <c r="H711" s="5" t="s">
        <v>1106</v>
      </c>
    </row>
    <row r="712" spans="1:8" ht="15.75" x14ac:dyDescent="0.25">
      <c r="A712" s="4">
        <v>63001353</v>
      </c>
      <c r="B712" s="4">
        <v>631784000154</v>
      </c>
      <c r="C712" s="5" t="s">
        <v>1884</v>
      </c>
      <c r="D712" s="6" t="s">
        <v>116</v>
      </c>
      <c r="E712" s="9" t="s">
        <v>541</v>
      </c>
      <c r="F712" s="10" t="s">
        <v>541</v>
      </c>
      <c r="G712" s="6"/>
      <c r="H712" s="5" t="s">
        <v>1107</v>
      </c>
    </row>
    <row r="713" spans="1:8" ht="15.75" x14ac:dyDescent="0.25">
      <c r="A713" s="4">
        <v>63001354</v>
      </c>
      <c r="B713" s="4">
        <v>640401008062</v>
      </c>
      <c r="C713" s="5" t="s">
        <v>1885</v>
      </c>
      <c r="D713" s="6" t="s">
        <v>116</v>
      </c>
      <c r="E713" s="9" t="s">
        <v>541</v>
      </c>
      <c r="F713" s="10" t="s">
        <v>541</v>
      </c>
      <c r="G713" s="6"/>
      <c r="H713" s="5" t="s">
        <v>1108</v>
      </c>
    </row>
    <row r="714" spans="1:8" ht="15.75" x14ac:dyDescent="0.25">
      <c r="A714" s="4">
        <v>63001399</v>
      </c>
      <c r="B714" s="4">
        <v>862425001751</v>
      </c>
      <c r="C714" s="5" t="s">
        <v>1886</v>
      </c>
      <c r="D714" s="6" t="s">
        <v>116</v>
      </c>
      <c r="E714" s="5" t="s">
        <v>519</v>
      </c>
      <c r="F714" s="6" t="s">
        <v>161</v>
      </c>
      <c r="G714" s="6"/>
      <c r="H714" s="5" t="s">
        <v>1109</v>
      </c>
    </row>
    <row r="715" spans="1:8" ht="15.75" x14ac:dyDescent="0.25">
      <c r="A715" s="4">
        <v>63001402</v>
      </c>
      <c r="B715" s="4">
        <v>771317001557</v>
      </c>
      <c r="C715" s="5" t="s">
        <v>1887</v>
      </c>
      <c r="D715" s="6" t="s">
        <v>116</v>
      </c>
      <c r="E715" s="9" t="s">
        <v>541</v>
      </c>
      <c r="F715" s="10" t="s">
        <v>541</v>
      </c>
      <c r="G715" s="6"/>
      <c r="H715" s="5" t="s">
        <v>1110</v>
      </c>
    </row>
    <row r="716" spans="1:8" ht="15.75" x14ac:dyDescent="0.25">
      <c r="A716" s="4">
        <v>63001405</v>
      </c>
      <c r="B716" s="4">
        <v>860334020161</v>
      </c>
      <c r="C716" s="5" t="s">
        <v>1888</v>
      </c>
      <c r="D716" s="6" t="s">
        <v>116</v>
      </c>
      <c r="E716" s="5" t="s">
        <v>189</v>
      </c>
      <c r="F716" s="6" t="s">
        <v>161</v>
      </c>
      <c r="G716" s="6"/>
      <c r="H716" s="5" t="s">
        <v>1111</v>
      </c>
    </row>
    <row r="717" spans="1:8" ht="15.75" x14ac:dyDescent="0.25">
      <c r="A717" s="4">
        <v>63001406</v>
      </c>
      <c r="B717" s="4">
        <v>893996001231</v>
      </c>
      <c r="C717" s="5" t="s">
        <v>1889</v>
      </c>
      <c r="D717" s="6" t="s">
        <v>116</v>
      </c>
      <c r="E717" s="5" t="s">
        <v>189</v>
      </c>
      <c r="F717" s="6" t="s">
        <v>161</v>
      </c>
      <c r="G717" s="6"/>
      <c r="H717" s="5" t="s">
        <v>1112</v>
      </c>
    </row>
    <row r="718" spans="1:8" ht="15.75" x14ac:dyDescent="0.25">
      <c r="A718" s="4">
        <v>63001407</v>
      </c>
      <c r="B718" s="4">
        <v>893819001146</v>
      </c>
      <c r="C718" s="5" t="s">
        <v>1890</v>
      </c>
      <c r="D718" s="6" t="s">
        <v>116</v>
      </c>
      <c r="E718" s="5" t="s">
        <v>199</v>
      </c>
      <c r="F718" s="6" t="s">
        <v>161</v>
      </c>
      <c r="G718" s="6"/>
      <c r="H718" s="5" t="s">
        <v>1113</v>
      </c>
    </row>
    <row r="719" spans="1:8" ht="15.75" x14ac:dyDescent="0.25">
      <c r="A719" s="4">
        <v>63001408</v>
      </c>
      <c r="B719" s="4">
        <v>902064004350</v>
      </c>
      <c r="C719" s="5" t="s">
        <v>1891</v>
      </c>
      <c r="D719" s="6" t="s">
        <v>116</v>
      </c>
      <c r="E719" s="5" t="s">
        <v>189</v>
      </c>
      <c r="F719" s="6" t="s">
        <v>161</v>
      </c>
      <c r="G719" s="6"/>
      <c r="H719" s="5" t="s">
        <v>1114</v>
      </c>
    </row>
    <row r="720" spans="1:8" ht="15.75" x14ac:dyDescent="0.25">
      <c r="A720" s="4">
        <v>63001409</v>
      </c>
      <c r="B720" s="4">
        <v>860612007350</v>
      </c>
      <c r="C720" s="5" t="s">
        <v>1892</v>
      </c>
      <c r="D720" s="6" t="s">
        <v>116</v>
      </c>
      <c r="E720" s="5" t="s">
        <v>189</v>
      </c>
      <c r="F720" s="6" t="s">
        <v>161</v>
      </c>
      <c r="G720" s="6"/>
      <c r="H720" s="5" t="s">
        <v>1115</v>
      </c>
    </row>
    <row r="721" spans="1:8" ht="15.75" x14ac:dyDescent="0.25">
      <c r="A721" s="4">
        <v>63001410</v>
      </c>
      <c r="B721" s="4">
        <v>850281028536</v>
      </c>
      <c r="C721" s="5" t="s">
        <v>1893</v>
      </c>
      <c r="D721" s="6" t="s">
        <v>116</v>
      </c>
      <c r="E721" s="5" t="s">
        <v>189</v>
      </c>
      <c r="F721" s="6" t="s">
        <v>161</v>
      </c>
      <c r="G721" s="6"/>
      <c r="H721" s="5" t="s">
        <v>347</v>
      </c>
    </row>
    <row r="722" spans="1:8" ht="15.75" x14ac:dyDescent="0.25">
      <c r="A722" s="4">
        <v>63001411</v>
      </c>
      <c r="B722" s="4">
        <v>890783006234</v>
      </c>
      <c r="C722" s="5" t="s">
        <v>1894</v>
      </c>
      <c r="D722" s="6" t="s">
        <v>116</v>
      </c>
      <c r="E722" s="5" t="s">
        <v>199</v>
      </c>
      <c r="F722" s="6" t="s">
        <v>161</v>
      </c>
      <c r="G722" s="6"/>
      <c r="H722" s="5" t="s">
        <v>1116</v>
      </c>
    </row>
    <row r="723" spans="1:8" ht="15.75" x14ac:dyDescent="0.25">
      <c r="A723" s="4">
        <v>63001412</v>
      </c>
      <c r="B723" s="4">
        <v>888422000346</v>
      </c>
      <c r="C723" s="5" t="s">
        <v>1895</v>
      </c>
      <c r="D723" s="6" t="s">
        <v>116</v>
      </c>
      <c r="E723" s="5" t="s">
        <v>199</v>
      </c>
      <c r="F723" s="6" t="s">
        <v>161</v>
      </c>
      <c r="G723" s="6"/>
      <c r="H723" s="5" t="s">
        <v>1117</v>
      </c>
    </row>
    <row r="724" spans="1:8" ht="15.75" x14ac:dyDescent="0.25">
      <c r="A724" s="4">
        <v>63001413</v>
      </c>
      <c r="B724" s="4">
        <v>841747007041</v>
      </c>
      <c r="C724" s="5" t="s">
        <v>1896</v>
      </c>
      <c r="D724" s="6" t="s">
        <v>116</v>
      </c>
      <c r="E724" s="5" t="s">
        <v>189</v>
      </c>
      <c r="F724" s="6" t="s">
        <v>161</v>
      </c>
      <c r="G724" s="6"/>
      <c r="H724" s="5" t="s">
        <v>1118</v>
      </c>
    </row>
    <row r="725" spans="1:8" ht="15.75" x14ac:dyDescent="0.25">
      <c r="A725" s="4">
        <v>63001415</v>
      </c>
      <c r="B725" s="4">
        <v>900660005845</v>
      </c>
      <c r="C725" s="5" t="s">
        <v>1897</v>
      </c>
      <c r="D725" s="6" t="s">
        <v>116</v>
      </c>
      <c r="E725" s="9" t="s">
        <v>541</v>
      </c>
      <c r="F725" s="10" t="s">
        <v>541</v>
      </c>
      <c r="G725" s="6"/>
      <c r="H725" s="5" t="s">
        <v>1119</v>
      </c>
    </row>
    <row r="726" spans="1:8" ht="15.75" x14ac:dyDescent="0.25">
      <c r="A726" s="4">
        <v>63001416</v>
      </c>
      <c r="B726" s="4">
        <v>900110011768</v>
      </c>
      <c r="C726" s="5" t="s">
        <v>1898</v>
      </c>
      <c r="D726" s="6" t="s">
        <v>116</v>
      </c>
      <c r="E726" s="9" t="s">
        <v>541</v>
      </c>
      <c r="F726" s="10" t="s">
        <v>541</v>
      </c>
      <c r="G726" s="6"/>
      <c r="H726" s="5" t="s">
        <v>1120</v>
      </c>
    </row>
    <row r="727" spans="1:8" ht="15.75" x14ac:dyDescent="0.25">
      <c r="A727" s="4">
        <v>63001417</v>
      </c>
      <c r="B727" s="4">
        <v>892858003038</v>
      </c>
      <c r="C727" s="5" t="s">
        <v>1899</v>
      </c>
      <c r="D727" s="6" t="s">
        <v>116</v>
      </c>
      <c r="E727" s="5" t="s">
        <v>189</v>
      </c>
      <c r="F727" s="6" t="s">
        <v>161</v>
      </c>
      <c r="G727" s="6"/>
      <c r="H727" s="5" t="s">
        <v>1121</v>
      </c>
    </row>
    <row r="728" spans="1:8" ht="15.75" x14ac:dyDescent="0.25">
      <c r="A728" s="4">
        <v>63001418</v>
      </c>
      <c r="B728" s="4">
        <v>880725012252</v>
      </c>
      <c r="C728" s="5" t="s">
        <v>1900</v>
      </c>
      <c r="D728" s="6" t="s">
        <v>116</v>
      </c>
      <c r="E728" s="5" t="s">
        <v>189</v>
      </c>
      <c r="F728" s="6" t="s">
        <v>161</v>
      </c>
      <c r="G728" s="6"/>
      <c r="H728" s="5" t="s">
        <v>1122</v>
      </c>
    </row>
    <row r="729" spans="1:8" ht="15.75" x14ac:dyDescent="0.25">
      <c r="A729" s="4">
        <v>63001419</v>
      </c>
      <c r="B729" s="4">
        <v>890258021248</v>
      </c>
      <c r="C729" s="5" t="s">
        <v>1901</v>
      </c>
      <c r="D729" s="6" t="s">
        <v>116</v>
      </c>
      <c r="E729" s="9" t="s">
        <v>541</v>
      </c>
      <c r="F729" s="10" t="s">
        <v>541</v>
      </c>
      <c r="G729" s="6"/>
      <c r="H729" s="5" t="s">
        <v>1123</v>
      </c>
    </row>
    <row r="730" spans="1:8" ht="15.75" x14ac:dyDescent="0.25">
      <c r="A730" s="4">
        <v>63001420</v>
      </c>
      <c r="B730" s="4">
        <v>901680004742</v>
      </c>
      <c r="C730" s="5" t="s">
        <v>1902</v>
      </c>
      <c r="D730" s="6" t="s">
        <v>116</v>
      </c>
      <c r="E730" s="9" t="s">
        <v>541</v>
      </c>
      <c r="F730" s="10" t="s">
        <v>541</v>
      </c>
      <c r="G730" s="6"/>
      <c r="H730" s="5" t="s">
        <v>1124</v>
      </c>
    </row>
    <row r="731" spans="1:8" ht="15.75" x14ac:dyDescent="0.25">
      <c r="A731" s="4">
        <v>63001422</v>
      </c>
      <c r="B731" s="4">
        <v>860915002651</v>
      </c>
      <c r="C731" s="5" t="s">
        <v>1903</v>
      </c>
      <c r="D731" s="6" t="s">
        <v>116</v>
      </c>
      <c r="E731" s="5" t="s">
        <v>298</v>
      </c>
      <c r="F731" s="6" t="s">
        <v>161</v>
      </c>
      <c r="G731" s="6"/>
      <c r="H731" s="5" t="s">
        <v>1125</v>
      </c>
    </row>
    <row r="732" spans="1:8" ht="15.75" x14ac:dyDescent="0.25">
      <c r="A732" s="4">
        <v>63001423</v>
      </c>
      <c r="B732" s="4">
        <v>871211004853</v>
      </c>
      <c r="C732" s="5" t="s">
        <v>1904</v>
      </c>
      <c r="D732" s="6" t="s">
        <v>116</v>
      </c>
      <c r="E732" s="5" t="s">
        <v>199</v>
      </c>
      <c r="F732" s="6" t="s">
        <v>161</v>
      </c>
      <c r="G732" s="6"/>
      <c r="H732" s="5" t="s">
        <v>1126</v>
      </c>
    </row>
    <row r="733" spans="1:8" ht="15.75" x14ac:dyDescent="0.25">
      <c r="A733" s="4">
        <v>63001424</v>
      </c>
      <c r="B733" s="4">
        <v>662817001355</v>
      </c>
      <c r="C733" s="5" t="s">
        <v>1905</v>
      </c>
      <c r="D733" s="6" t="s">
        <v>116</v>
      </c>
      <c r="E733" s="5" t="s">
        <v>189</v>
      </c>
      <c r="F733" s="6" t="s">
        <v>161</v>
      </c>
      <c r="G733" s="6"/>
      <c r="H733" s="5" t="s">
        <v>1127</v>
      </c>
    </row>
    <row r="734" spans="1:8" ht="15.75" x14ac:dyDescent="0.25">
      <c r="A734" s="4">
        <v>63001425</v>
      </c>
      <c r="B734" s="4">
        <v>890924009237</v>
      </c>
      <c r="C734" s="5" t="s">
        <v>1906</v>
      </c>
      <c r="D734" s="6" t="s">
        <v>116</v>
      </c>
      <c r="E734" s="5" t="s">
        <v>199</v>
      </c>
      <c r="F734" s="6" t="s">
        <v>161</v>
      </c>
      <c r="G734" s="6"/>
      <c r="H734" s="5" t="s">
        <v>1128</v>
      </c>
    </row>
    <row r="735" spans="1:8" ht="15.75" x14ac:dyDescent="0.25">
      <c r="A735" s="4">
        <v>63001426</v>
      </c>
      <c r="B735" s="4">
        <v>780180008836</v>
      </c>
      <c r="C735" s="5" t="s">
        <v>1907</v>
      </c>
      <c r="D735" s="6" t="s">
        <v>116</v>
      </c>
      <c r="E735" s="5" t="s">
        <v>189</v>
      </c>
      <c r="F735" s="6" t="s">
        <v>161</v>
      </c>
      <c r="G735" s="6"/>
      <c r="H735" s="5" t="s">
        <v>1129</v>
      </c>
    </row>
    <row r="736" spans="1:8" ht="15.75" x14ac:dyDescent="0.25">
      <c r="A736" s="4">
        <v>63001427</v>
      </c>
      <c r="B736" s="4">
        <v>880048051547</v>
      </c>
      <c r="C736" s="5" t="s">
        <v>1908</v>
      </c>
      <c r="D736" s="6" t="s">
        <v>116</v>
      </c>
      <c r="E736" s="5" t="s">
        <v>199</v>
      </c>
      <c r="F736" s="6" t="s">
        <v>161</v>
      </c>
      <c r="G736" s="6"/>
      <c r="H736" s="5" t="s">
        <v>1130</v>
      </c>
    </row>
    <row r="737" spans="1:8" ht="15.75" x14ac:dyDescent="0.25">
      <c r="A737" s="4">
        <v>63001428</v>
      </c>
      <c r="B737" s="4">
        <v>890403014355</v>
      </c>
      <c r="C737" s="5" t="s">
        <v>1909</v>
      </c>
      <c r="D737" s="6" t="s">
        <v>116</v>
      </c>
      <c r="E737" s="5" t="s">
        <v>199</v>
      </c>
      <c r="F737" s="6" t="s">
        <v>161</v>
      </c>
      <c r="G737" s="6"/>
      <c r="H737" s="5" t="s">
        <v>1131</v>
      </c>
    </row>
    <row r="738" spans="1:8" ht="15.75" x14ac:dyDescent="0.25">
      <c r="A738" s="4">
        <v>63001429</v>
      </c>
      <c r="B738" s="4">
        <v>841254009934</v>
      </c>
      <c r="C738" s="5" t="s">
        <v>1910</v>
      </c>
      <c r="D738" s="6" t="s">
        <v>116</v>
      </c>
      <c r="E738" s="5" t="s">
        <v>199</v>
      </c>
      <c r="F738" s="6" t="s">
        <v>161</v>
      </c>
      <c r="G738" s="6"/>
      <c r="H738" s="5" t="s">
        <v>1132</v>
      </c>
    </row>
    <row r="739" spans="1:8" ht="15.75" x14ac:dyDescent="0.25">
      <c r="A739" s="4">
        <v>63001430</v>
      </c>
      <c r="B739" s="4">
        <v>900439007345</v>
      </c>
      <c r="C739" s="5" t="s">
        <v>1911</v>
      </c>
      <c r="D739" s="6" t="s">
        <v>116</v>
      </c>
      <c r="E739" s="9" t="s">
        <v>541</v>
      </c>
      <c r="F739" s="10" t="s">
        <v>541</v>
      </c>
      <c r="G739" s="6"/>
      <c r="H739" s="5" t="s">
        <v>1133</v>
      </c>
    </row>
    <row r="740" spans="1:8" ht="15.75" x14ac:dyDescent="0.25">
      <c r="A740" s="4">
        <v>63001431</v>
      </c>
      <c r="B740" s="4">
        <v>900413006258</v>
      </c>
      <c r="C740" s="5" t="s">
        <v>1912</v>
      </c>
      <c r="D740" s="6" t="s">
        <v>116</v>
      </c>
      <c r="E740" s="5" t="s">
        <v>199</v>
      </c>
      <c r="F740" s="6" t="s">
        <v>161</v>
      </c>
      <c r="G740" s="6"/>
      <c r="H740" s="5" t="s">
        <v>1134</v>
      </c>
    </row>
    <row r="741" spans="1:8" ht="15.75" x14ac:dyDescent="0.25">
      <c r="A741" s="4">
        <v>63001432</v>
      </c>
      <c r="B741" s="4">
        <v>892546003243</v>
      </c>
      <c r="C741" s="5" t="s">
        <v>1913</v>
      </c>
      <c r="D741" s="6" t="s">
        <v>116</v>
      </c>
      <c r="E741" s="9" t="s">
        <v>541</v>
      </c>
      <c r="F741" s="10" t="s">
        <v>541</v>
      </c>
      <c r="G741" s="6"/>
      <c r="H741" s="5" t="s">
        <v>1135</v>
      </c>
    </row>
    <row r="742" spans="1:8" ht="15.75" x14ac:dyDescent="0.25">
      <c r="A742" s="4">
        <v>63001433</v>
      </c>
      <c r="B742" s="4">
        <v>820487001844</v>
      </c>
      <c r="C742" s="5" t="s">
        <v>1914</v>
      </c>
      <c r="D742" s="6" t="s">
        <v>116</v>
      </c>
      <c r="E742" s="5" t="s">
        <v>199</v>
      </c>
      <c r="F742" s="6" t="s">
        <v>161</v>
      </c>
      <c r="G742" s="6"/>
      <c r="H742" s="5" t="s">
        <v>1136</v>
      </c>
    </row>
    <row r="743" spans="1:8" ht="15.75" x14ac:dyDescent="0.25">
      <c r="A743" s="4">
        <v>63001434</v>
      </c>
      <c r="B743" s="4">
        <v>773567001739</v>
      </c>
      <c r="C743" s="5" t="s">
        <v>1915</v>
      </c>
      <c r="D743" s="6" t="s">
        <v>116</v>
      </c>
      <c r="E743" s="5" t="s">
        <v>199</v>
      </c>
      <c r="F743" s="6" t="s">
        <v>161</v>
      </c>
      <c r="G743" s="6"/>
      <c r="H743" s="5" t="s">
        <v>1137</v>
      </c>
    </row>
    <row r="744" spans="1:8" ht="15.75" x14ac:dyDescent="0.25">
      <c r="A744" s="4">
        <v>63001435</v>
      </c>
      <c r="B744" s="4">
        <v>890078022541</v>
      </c>
      <c r="C744" s="5" t="s">
        <v>1916</v>
      </c>
      <c r="D744" s="6" t="s">
        <v>116</v>
      </c>
      <c r="E744" s="5" t="s">
        <v>189</v>
      </c>
      <c r="F744" s="6" t="s">
        <v>161</v>
      </c>
      <c r="G744" s="6"/>
      <c r="H744" s="5" t="s">
        <v>1138</v>
      </c>
    </row>
    <row r="745" spans="1:8" ht="15.75" x14ac:dyDescent="0.25">
      <c r="A745" s="4">
        <v>63001436</v>
      </c>
      <c r="B745" s="4">
        <v>882929000346</v>
      </c>
      <c r="C745" s="5" t="s">
        <v>1917</v>
      </c>
      <c r="D745" s="6" t="s">
        <v>116</v>
      </c>
      <c r="E745" s="5" t="s">
        <v>189</v>
      </c>
      <c r="F745" s="6" t="s">
        <v>161</v>
      </c>
      <c r="G745" s="6"/>
      <c r="H745" s="5" t="s">
        <v>1139</v>
      </c>
    </row>
    <row r="746" spans="1:8" ht="15.75" x14ac:dyDescent="0.25">
      <c r="A746" s="4">
        <v>63001437</v>
      </c>
      <c r="B746" s="4">
        <v>889156000535</v>
      </c>
      <c r="C746" s="5" t="s">
        <v>1918</v>
      </c>
      <c r="D746" s="6" t="s">
        <v>116</v>
      </c>
      <c r="E746" s="5" t="s">
        <v>189</v>
      </c>
      <c r="F746" s="6" t="s">
        <v>161</v>
      </c>
      <c r="G746" s="6"/>
      <c r="H746" s="5" t="s">
        <v>1140</v>
      </c>
    </row>
    <row r="747" spans="1:8" ht="15.75" x14ac:dyDescent="0.25">
      <c r="A747" s="4">
        <v>63001438</v>
      </c>
      <c r="B747" s="4">
        <v>740089029234</v>
      </c>
      <c r="C747" s="5" t="s">
        <v>1919</v>
      </c>
      <c r="D747" s="6" t="s">
        <v>116</v>
      </c>
      <c r="E747" s="5" t="s">
        <v>189</v>
      </c>
      <c r="F747" s="6" t="s">
        <v>161</v>
      </c>
      <c r="G747" s="6"/>
      <c r="H747" s="5" t="s">
        <v>1141</v>
      </c>
    </row>
    <row r="748" spans="1:8" ht="15.75" x14ac:dyDescent="0.25">
      <c r="A748" s="4">
        <v>63001439</v>
      </c>
      <c r="B748" s="4">
        <v>893757001141</v>
      </c>
      <c r="C748" s="5" t="s">
        <v>1920</v>
      </c>
      <c r="D748" s="6" t="s">
        <v>116</v>
      </c>
      <c r="E748" s="9" t="s">
        <v>541</v>
      </c>
      <c r="F748" s="10" t="s">
        <v>541</v>
      </c>
      <c r="G748" s="6">
        <f>_xlfn.XLOOKUP(DATA_TABLE[[#This Row],[Matricule]],GLOBAL!$B$2:$B$351,GLOBAL!$F$2:$F$351,"not found")</f>
        <v>22</v>
      </c>
      <c r="H748" s="5" t="s">
        <v>228</v>
      </c>
    </row>
    <row r="749" spans="1:8" ht="15.75" x14ac:dyDescent="0.25">
      <c r="A749" s="4">
        <v>63001440</v>
      </c>
      <c r="B749" s="4">
        <v>900301017260</v>
      </c>
      <c r="C749" s="5" t="s">
        <v>1921</v>
      </c>
      <c r="D749" s="6" t="s">
        <v>116</v>
      </c>
      <c r="E749" s="9" t="s">
        <v>541</v>
      </c>
      <c r="F749" s="10" t="s">
        <v>541</v>
      </c>
      <c r="G749" s="6"/>
      <c r="H749" s="5" t="s">
        <v>1142</v>
      </c>
    </row>
    <row r="750" spans="1:8" ht="15.75" x14ac:dyDescent="0.25">
      <c r="A750" s="4">
        <v>63001441</v>
      </c>
      <c r="B750" s="4">
        <v>900886006336</v>
      </c>
      <c r="C750" s="5" t="s">
        <v>1922</v>
      </c>
      <c r="D750" s="6" t="s">
        <v>116</v>
      </c>
      <c r="E750" s="5" t="s">
        <v>189</v>
      </c>
      <c r="F750" s="6" t="s">
        <v>161</v>
      </c>
      <c r="G750" s="6"/>
      <c r="H750" s="5" t="s">
        <v>1143</v>
      </c>
    </row>
    <row r="751" spans="1:8" ht="15.75" x14ac:dyDescent="0.25">
      <c r="A751" s="4">
        <v>63001442</v>
      </c>
      <c r="B751" s="4">
        <v>881261007044</v>
      </c>
      <c r="C751" s="5" t="s">
        <v>1923</v>
      </c>
      <c r="D751" s="6" t="s">
        <v>116</v>
      </c>
      <c r="E751" s="5" t="s">
        <v>189</v>
      </c>
      <c r="F751" s="6" t="s">
        <v>161</v>
      </c>
      <c r="G751" s="6"/>
      <c r="H751" s="5" t="s">
        <v>1144</v>
      </c>
    </row>
    <row r="752" spans="1:8" ht="15.75" x14ac:dyDescent="0.25">
      <c r="A752" s="4">
        <v>63001443</v>
      </c>
      <c r="B752" s="4">
        <v>904356000450</v>
      </c>
      <c r="C752" s="5" t="s">
        <v>1924</v>
      </c>
      <c r="D752" s="6" t="s">
        <v>116</v>
      </c>
      <c r="E752" s="5" t="s">
        <v>199</v>
      </c>
      <c r="F752" s="6" t="s">
        <v>161</v>
      </c>
      <c r="G752" s="6"/>
      <c r="H752" s="5" t="s">
        <v>1145</v>
      </c>
    </row>
    <row r="753" spans="1:8" ht="15.75" x14ac:dyDescent="0.25">
      <c r="A753" s="4">
        <v>63001444</v>
      </c>
      <c r="B753" s="4">
        <v>826352000945</v>
      </c>
      <c r="C753" s="5" t="s">
        <v>1925</v>
      </c>
      <c r="D753" s="6" t="s">
        <v>116</v>
      </c>
      <c r="E753" s="5" t="s">
        <v>298</v>
      </c>
      <c r="F753" s="6" t="s">
        <v>161</v>
      </c>
      <c r="G753" s="6"/>
      <c r="H753" s="5" t="s">
        <v>1146</v>
      </c>
    </row>
    <row r="754" spans="1:8" ht="15.75" x14ac:dyDescent="0.25">
      <c r="A754" s="4">
        <v>63001503</v>
      </c>
      <c r="B754" s="4">
        <v>920834008144</v>
      </c>
      <c r="C754" s="5" t="s">
        <v>1926</v>
      </c>
      <c r="D754" s="6" t="s">
        <v>116</v>
      </c>
      <c r="E754" s="5" t="s">
        <v>199</v>
      </c>
      <c r="F754" s="6" t="s">
        <v>161</v>
      </c>
      <c r="G754" s="6"/>
      <c r="H754" s="5" t="s">
        <v>1147</v>
      </c>
    </row>
    <row r="755" spans="1:8" ht="15.75" x14ac:dyDescent="0.25">
      <c r="A755" s="4">
        <v>63001506</v>
      </c>
      <c r="B755" s="4">
        <v>927848000536</v>
      </c>
      <c r="C755" s="5" t="s">
        <v>2132</v>
      </c>
      <c r="D755" s="6" t="s">
        <v>116</v>
      </c>
      <c r="E755" s="5" t="s">
        <v>530</v>
      </c>
      <c r="F755" s="6" t="s">
        <v>161</v>
      </c>
      <c r="G755" s="6"/>
      <c r="H755" s="5" t="s">
        <v>620</v>
      </c>
    </row>
    <row r="756" spans="1:8" ht="15.75" x14ac:dyDescent="0.25">
      <c r="A756" s="4">
        <v>63001507</v>
      </c>
      <c r="B756" s="4">
        <v>872301004258</v>
      </c>
      <c r="C756" s="5" t="s">
        <v>1927</v>
      </c>
      <c r="D756" s="6" t="s">
        <v>116</v>
      </c>
      <c r="E756" s="5" t="s">
        <v>171</v>
      </c>
      <c r="F756" s="6" t="s">
        <v>155</v>
      </c>
      <c r="G756" s="6"/>
      <c r="H756" s="5" t="s">
        <v>1148</v>
      </c>
    </row>
    <row r="757" spans="1:8" ht="15.75" x14ac:dyDescent="0.25">
      <c r="A757" s="4">
        <v>63001508</v>
      </c>
      <c r="B757" s="4">
        <v>923354002052</v>
      </c>
      <c r="C757" s="5" t="s">
        <v>118</v>
      </c>
      <c r="D757" s="6" t="s">
        <v>116</v>
      </c>
      <c r="E757" s="5" t="s">
        <v>517</v>
      </c>
      <c r="F757" s="6" t="s">
        <v>161</v>
      </c>
      <c r="G757" s="6"/>
      <c r="H757" s="5" t="s">
        <v>1318</v>
      </c>
    </row>
    <row r="758" spans="1:8" ht="15.75" x14ac:dyDescent="0.25">
      <c r="A758" s="4">
        <v>63001515</v>
      </c>
      <c r="B758" s="4">
        <v>860104020565</v>
      </c>
      <c r="C758" s="5" t="s">
        <v>1928</v>
      </c>
      <c r="D758" s="6" t="s">
        <v>116</v>
      </c>
      <c r="E758" s="5" t="s">
        <v>199</v>
      </c>
      <c r="F758" s="6" t="s">
        <v>161</v>
      </c>
      <c r="G758" s="6"/>
      <c r="H758" s="5" t="s">
        <v>1149</v>
      </c>
    </row>
    <row r="759" spans="1:8" ht="15.75" x14ac:dyDescent="0.25">
      <c r="A759" s="4">
        <v>63001520</v>
      </c>
      <c r="B759" s="4">
        <v>904027002157</v>
      </c>
      <c r="C759" s="5" t="s">
        <v>1929</v>
      </c>
      <c r="D759" s="6" t="s">
        <v>116</v>
      </c>
      <c r="E759" s="5" t="s">
        <v>171</v>
      </c>
      <c r="F759" s="6" t="s">
        <v>155</v>
      </c>
      <c r="G759" s="6"/>
      <c r="H759" s="5" t="s">
        <v>1150</v>
      </c>
    </row>
    <row r="760" spans="1:8" ht="15.75" x14ac:dyDescent="0.25">
      <c r="A760" s="4">
        <v>63001526</v>
      </c>
      <c r="B760" s="4">
        <v>860829004147</v>
      </c>
      <c r="C760" s="5" t="s">
        <v>1930</v>
      </c>
      <c r="D760" s="6" t="s">
        <v>116</v>
      </c>
      <c r="E760" s="5" t="s">
        <v>339</v>
      </c>
      <c r="F760" s="6" t="s">
        <v>161</v>
      </c>
      <c r="G760" s="6"/>
      <c r="H760" s="5" t="s">
        <v>1151</v>
      </c>
    </row>
    <row r="761" spans="1:8" ht="15.75" x14ac:dyDescent="0.25">
      <c r="A761" s="4">
        <v>63001529</v>
      </c>
      <c r="B761" s="4">
        <v>910119021361</v>
      </c>
      <c r="C761" s="5" t="s">
        <v>1931</v>
      </c>
      <c r="D761" s="6" t="s">
        <v>116</v>
      </c>
      <c r="E761" s="5" t="s">
        <v>199</v>
      </c>
      <c r="F761" s="6" t="s">
        <v>161</v>
      </c>
      <c r="G761" s="6"/>
      <c r="H761" s="5" t="s">
        <v>1152</v>
      </c>
    </row>
    <row r="762" spans="1:8" ht="15.75" x14ac:dyDescent="0.25">
      <c r="A762" s="4">
        <v>63001531</v>
      </c>
      <c r="B762" s="4">
        <v>884803000947</v>
      </c>
      <c r="C762" s="5" t="s">
        <v>1932</v>
      </c>
      <c r="D762" s="6" t="s">
        <v>116</v>
      </c>
      <c r="E762" s="5" t="s">
        <v>199</v>
      </c>
      <c r="F762" s="6" t="s">
        <v>161</v>
      </c>
      <c r="G762" s="6"/>
      <c r="H762" s="5" t="s">
        <v>1153</v>
      </c>
    </row>
    <row r="763" spans="1:8" ht="15.75" x14ac:dyDescent="0.25">
      <c r="A763" s="4">
        <v>63001533</v>
      </c>
      <c r="B763" s="4">
        <v>933503001755</v>
      </c>
      <c r="C763" s="5" t="s">
        <v>1933</v>
      </c>
      <c r="D763" s="6" t="s">
        <v>116</v>
      </c>
      <c r="E763" s="5" t="s">
        <v>189</v>
      </c>
      <c r="F763" s="6" t="s">
        <v>161</v>
      </c>
      <c r="G763" s="6"/>
      <c r="H763" s="5" t="s">
        <v>1154</v>
      </c>
    </row>
    <row r="764" spans="1:8" ht="15.75" x14ac:dyDescent="0.25">
      <c r="A764" s="4">
        <v>63001534</v>
      </c>
      <c r="B764" s="4">
        <v>910317010067</v>
      </c>
      <c r="C764" s="5" t="s">
        <v>1934</v>
      </c>
      <c r="D764" s="6" t="s">
        <v>116</v>
      </c>
      <c r="E764" s="5" t="s">
        <v>199</v>
      </c>
      <c r="F764" s="6" t="s">
        <v>161</v>
      </c>
      <c r="G764" s="6"/>
      <c r="H764" s="5" t="s">
        <v>1155</v>
      </c>
    </row>
    <row r="765" spans="1:8" ht="15.75" x14ac:dyDescent="0.25">
      <c r="A765" s="4">
        <v>63001536</v>
      </c>
      <c r="B765" s="4">
        <v>922551002550</v>
      </c>
      <c r="C765" s="5" t="s">
        <v>1935</v>
      </c>
      <c r="D765" s="6" t="s">
        <v>116</v>
      </c>
      <c r="E765" s="5" t="s">
        <v>199</v>
      </c>
      <c r="F765" s="6" t="s">
        <v>161</v>
      </c>
      <c r="G765" s="6"/>
      <c r="H765" s="5" t="s">
        <v>1156</v>
      </c>
    </row>
    <row r="766" spans="1:8" ht="15.75" x14ac:dyDescent="0.25">
      <c r="A766" s="4">
        <v>63001538</v>
      </c>
      <c r="B766" s="4">
        <v>880022069342</v>
      </c>
      <c r="C766" s="5" t="s">
        <v>1936</v>
      </c>
      <c r="D766" s="6" t="s">
        <v>116</v>
      </c>
      <c r="E766" s="5" t="s">
        <v>199</v>
      </c>
      <c r="F766" s="6" t="s">
        <v>161</v>
      </c>
      <c r="G766" s="6"/>
      <c r="H766" s="5" t="s">
        <v>1157</v>
      </c>
    </row>
    <row r="767" spans="1:8" ht="15.75" x14ac:dyDescent="0.25">
      <c r="A767" s="4">
        <v>63001540</v>
      </c>
      <c r="B767" s="4">
        <v>914869000241</v>
      </c>
      <c r="C767" s="5" t="s">
        <v>1937</v>
      </c>
      <c r="D767" s="6" t="s">
        <v>116</v>
      </c>
      <c r="E767" s="5" t="s">
        <v>199</v>
      </c>
      <c r="F767" s="6" t="s">
        <v>161</v>
      </c>
      <c r="G767" s="6"/>
      <c r="H767" s="5" t="s">
        <v>1158</v>
      </c>
    </row>
    <row r="768" spans="1:8" ht="15.75" x14ac:dyDescent="0.25">
      <c r="A768" s="4">
        <v>63001549</v>
      </c>
      <c r="B768" s="4">
        <v>900445016447</v>
      </c>
      <c r="C768" s="5" t="s">
        <v>1938</v>
      </c>
      <c r="D768" s="6" t="s">
        <v>116</v>
      </c>
      <c r="E768" s="5" t="s">
        <v>199</v>
      </c>
      <c r="F768" s="6" t="s">
        <v>161</v>
      </c>
      <c r="G768" s="6"/>
      <c r="H768" s="5" t="s">
        <v>1159</v>
      </c>
    </row>
    <row r="769" spans="1:8" ht="15.75" x14ac:dyDescent="0.25">
      <c r="A769" s="4">
        <v>63001551</v>
      </c>
      <c r="B769" s="4">
        <v>902454004546</v>
      </c>
      <c r="C769" s="5" t="s">
        <v>1939</v>
      </c>
      <c r="D769" s="6" t="s">
        <v>116</v>
      </c>
      <c r="E769" s="9" t="s">
        <v>541</v>
      </c>
      <c r="F769" s="10" t="s">
        <v>541</v>
      </c>
      <c r="G769" s="6"/>
      <c r="H769" s="5" t="s">
        <v>1160</v>
      </c>
    </row>
    <row r="770" spans="1:8" ht="15.75" x14ac:dyDescent="0.25">
      <c r="A770" s="4">
        <v>63001552</v>
      </c>
      <c r="B770" s="4">
        <v>891272007535</v>
      </c>
      <c r="C770" s="5" t="s">
        <v>1940</v>
      </c>
      <c r="D770" s="6" t="s">
        <v>116</v>
      </c>
      <c r="E770" s="5" t="s">
        <v>199</v>
      </c>
      <c r="F770" s="6" t="s">
        <v>161</v>
      </c>
      <c r="G770" s="6"/>
      <c r="H770" s="5" t="s">
        <v>1161</v>
      </c>
    </row>
    <row r="771" spans="1:8" ht="15.75" x14ac:dyDescent="0.25">
      <c r="A771" s="4">
        <v>63001559</v>
      </c>
      <c r="B771" s="4">
        <v>891172008534</v>
      </c>
      <c r="C771" s="5" t="s">
        <v>1941</v>
      </c>
      <c r="D771" s="6" t="s">
        <v>116</v>
      </c>
      <c r="E771" s="5" t="s">
        <v>199</v>
      </c>
      <c r="F771" s="6" t="s">
        <v>161</v>
      </c>
      <c r="G771" s="6"/>
      <c r="H771" s="5" t="s">
        <v>1162</v>
      </c>
    </row>
    <row r="772" spans="1:8" ht="15.75" x14ac:dyDescent="0.25">
      <c r="A772" s="4">
        <v>63001560</v>
      </c>
      <c r="B772" s="4">
        <v>909734000343</v>
      </c>
      <c r="C772" s="5" t="s">
        <v>1942</v>
      </c>
      <c r="D772" s="6" t="s">
        <v>116</v>
      </c>
      <c r="E772" s="5" t="s">
        <v>189</v>
      </c>
      <c r="F772" s="6" t="s">
        <v>161</v>
      </c>
      <c r="G772" s="6"/>
      <c r="H772" s="5" t="s">
        <v>1163</v>
      </c>
    </row>
    <row r="773" spans="1:8" ht="15.75" x14ac:dyDescent="0.25">
      <c r="A773" s="4">
        <v>63001563</v>
      </c>
      <c r="B773" s="4">
        <v>920314016552</v>
      </c>
      <c r="C773" s="5" t="s">
        <v>1943</v>
      </c>
      <c r="D773" s="6" t="s">
        <v>116</v>
      </c>
      <c r="E773" s="5" t="s">
        <v>199</v>
      </c>
      <c r="F773" s="6" t="s">
        <v>161</v>
      </c>
      <c r="G773" s="6"/>
      <c r="H773" s="5" t="s">
        <v>311</v>
      </c>
    </row>
    <row r="774" spans="1:8" ht="15.75" x14ac:dyDescent="0.25">
      <c r="A774" s="4">
        <v>63001567</v>
      </c>
      <c r="B774" s="4">
        <v>933247001944</v>
      </c>
      <c r="C774" s="5" t="s">
        <v>1944</v>
      </c>
      <c r="D774" s="6" t="s">
        <v>116</v>
      </c>
      <c r="E774" s="5" t="s">
        <v>199</v>
      </c>
      <c r="F774" s="6" t="s">
        <v>161</v>
      </c>
      <c r="G774" s="6"/>
      <c r="H774" s="5" t="s">
        <v>1164</v>
      </c>
    </row>
    <row r="775" spans="1:8" ht="15.75" x14ac:dyDescent="0.25">
      <c r="A775" s="4">
        <v>63001569</v>
      </c>
      <c r="B775" s="4">
        <v>910126007748</v>
      </c>
      <c r="C775" s="5" t="s">
        <v>1945</v>
      </c>
      <c r="D775" s="6" t="s">
        <v>116</v>
      </c>
      <c r="E775" s="5" t="s">
        <v>199</v>
      </c>
      <c r="F775" s="6" t="s">
        <v>161</v>
      </c>
      <c r="G775" s="6"/>
      <c r="H775" s="5" t="s">
        <v>198</v>
      </c>
    </row>
    <row r="776" spans="1:8" ht="15.75" x14ac:dyDescent="0.25">
      <c r="A776" s="4">
        <v>63001578</v>
      </c>
      <c r="B776" s="4">
        <v>901998002436</v>
      </c>
      <c r="C776" s="5" t="s">
        <v>1946</v>
      </c>
      <c r="D776" s="6" t="s">
        <v>116</v>
      </c>
      <c r="E776" s="5" t="s">
        <v>199</v>
      </c>
      <c r="F776" s="6" t="s">
        <v>161</v>
      </c>
      <c r="G776" s="6"/>
      <c r="H776" s="5" t="s">
        <v>1165</v>
      </c>
    </row>
    <row r="777" spans="1:8" ht="15.75" x14ac:dyDescent="0.25">
      <c r="A777" s="4">
        <v>63001581</v>
      </c>
      <c r="B777" s="4">
        <v>923669001638</v>
      </c>
      <c r="C777" s="5" t="s">
        <v>1947</v>
      </c>
      <c r="D777" s="6" t="s">
        <v>116</v>
      </c>
      <c r="E777" s="5" t="s">
        <v>189</v>
      </c>
      <c r="F777" s="6" t="s">
        <v>161</v>
      </c>
      <c r="G777" s="6"/>
      <c r="H777" s="5" t="s">
        <v>1166</v>
      </c>
    </row>
    <row r="778" spans="1:8" ht="15.75" x14ac:dyDescent="0.25">
      <c r="A778" s="4">
        <v>63001639</v>
      </c>
      <c r="B778" s="4">
        <v>920623011261</v>
      </c>
      <c r="C778" s="5" t="s">
        <v>119</v>
      </c>
      <c r="D778" s="6" t="s">
        <v>116</v>
      </c>
      <c r="E778" s="5" t="s">
        <v>369</v>
      </c>
      <c r="F778" s="6" t="s">
        <v>155</v>
      </c>
      <c r="G778" s="6"/>
      <c r="H778" s="5" t="s">
        <v>1319</v>
      </c>
    </row>
    <row r="779" spans="1:8" ht="15.75" x14ac:dyDescent="0.25">
      <c r="A779" s="4">
        <v>63001659</v>
      </c>
      <c r="B779" s="4">
        <v>904548000646</v>
      </c>
      <c r="C779" s="5" t="s">
        <v>1948</v>
      </c>
      <c r="D779" s="6" t="s">
        <v>116</v>
      </c>
      <c r="E779" s="5" t="s">
        <v>199</v>
      </c>
      <c r="F779" s="6" t="s">
        <v>161</v>
      </c>
      <c r="G779" s="6"/>
      <c r="H779" s="5" t="s">
        <v>1167</v>
      </c>
    </row>
    <row r="780" spans="1:8" ht="15.75" x14ac:dyDescent="0.25">
      <c r="A780" s="4">
        <v>63001682</v>
      </c>
      <c r="B780" s="4">
        <v>952580003837</v>
      </c>
      <c r="C780" s="5" t="s">
        <v>1949</v>
      </c>
      <c r="D780" s="6" t="s">
        <v>116</v>
      </c>
      <c r="E780" s="5" t="s">
        <v>298</v>
      </c>
      <c r="F780" s="6" t="s">
        <v>161</v>
      </c>
      <c r="G780" s="6"/>
      <c r="H780" s="5" t="s">
        <v>1168</v>
      </c>
    </row>
    <row r="781" spans="1:8" ht="15.75" x14ac:dyDescent="0.25">
      <c r="A781" s="4">
        <v>63001684</v>
      </c>
      <c r="B781" s="4">
        <v>943535002447</v>
      </c>
      <c r="C781" s="5" t="s">
        <v>1950</v>
      </c>
      <c r="D781" s="6" t="s">
        <v>116</v>
      </c>
      <c r="E781" s="5" t="s">
        <v>199</v>
      </c>
      <c r="F781" s="6" t="s">
        <v>161</v>
      </c>
      <c r="G781" s="6"/>
      <c r="H781" s="5" t="s">
        <v>1169</v>
      </c>
    </row>
    <row r="782" spans="1:8" ht="15.75" x14ac:dyDescent="0.25">
      <c r="A782" s="4">
        <v>63001685</v>
      </c>
      <c r="B782" s="4">
        <v>945300000361</v>
      </c>
      <c r="C782" s="5" t="s">
        <v>1951</v>
      </c>
      <c r="D782" s="6" t="s">
        <v>116</v>
      </c>
      <c r="E782" s="5" t="s">
        <v>199</v>
      </c>
      <c r="F782" s="6" t="s">
        <v>161</v>
      </c>
      <c r="G782" s="6"/>
      <c r="H782" s="5" t="s">
        <v>1170</v>
      </c>
    </row>
    <row r="783" spans="1:8" ht="15.75" x14ac:dyDescent="0.25">
      <c r="A783" s="4">
        <v>63001692</v>
      </c>
      <c r="B783" s="4">
        <v>922108000462</v>
      </c>
      <c r="C783" s="5" t="s">
        <v>1952</v>
      </c>
      <c r="D783" s="6" t="s">
        <v>116</v>
      </c>
      <c r="E783" s="5" t="s">
        <v>262</v>
      </c>
      <c r="F783" s="6" t="s">
        <v>161</v>
      </c>
      <c r="G783" s="6"/>
      <c r="H783" s="5" t="s">
        <v>1171</v>
      </c>
    </row>
    <row r="784" spans="1:8" ht="15.75" x14ac:dyDescent="0.25">
      <c r="A784" s="4">
        <v>63001701</v>
      </c>
      <c r="B784" s="4">
        <v>932993002931</v>
      </c>
      <c r="C784" s="5" t="s">
        <v>1953</v>
      </c>
      <c r="D784" s="6" t="s">
        <v>116</v>
      </c>
      <c r="E784" s="5" t="s">
        <v>199</v>
      </c>
      <c r="F784" s="6" t="s">
        <v>161</v>
      </c>
      <c r="G784" s="6"/>
      <c r="H784" s="5" t="s">
        <v>1172</v>
      </c>
    </row>
    <row r="785" spans="1:8" ht="15.75" x14ac:dyDescent="0.25">
      <c r="A785" s="4">
        <v>63001703</v>
      </c>
      <c r="B785" s="4">
        <v>945836001144</v>
      </c>
      <c r="C785" s="5" t="s">
        <v>1954</v>
      </c>
      <c r="D785" s="6" t="s">
        <v>116</v>
      </c>
      <c r="E785" s="5" t="s">
        <v>171</v>
      </c>
      <c r="F785" s="6" t="s">
        <v>155</v>
      </c>
      <c r="G785" s="6"/>
      <c r="H785" s="5" t="s">
        <v>1173</v>
      </c>
    </row>
    <row r="786" spans="1:8" ht="15.75" x14ac:dyDescent="0.25">
      <c r="A786" s="4">
        <v>63001704</v>
      </c>
      <c r="B786" s="4">
        <v>940141027051</v>
      </c>
      <c r="C786" s="5" t="s">
        <v>1955</v>
      </c>
      <c r="D786" s="6" t="s">
        <v>116</v>
      </c>
      <c r="E786" s="5" t="s">
        <v>171</v>
      </c>
      <c r="F786" s="6" t="s">
        <v>155</v>
      </c>
      <c r="G786" s="6"/>
      <c r="H786" s="5" t="s">
        <v>1174</v>
      </c>
    </row>
    <row r="787" spans="1:8" ht="15.75" x14ac:dyDescent="0.25">
      <c r="A787" s="4">
        <v>63001705</v>
      </c>
      <c r="B787" s="4">
        <v>912670000947</v>
      </c>
      <c r="C787" s="5" t="s">
        <v>1956</v>
      </c>
      <c r="D787" s="6" t="s">
        <v>116</v>
      </c>
      <c r="E787" s="5" t="s">
        <v>339</v>
      </c>
      <c r="F787" s="6" t="s">
        <v>161</v>
      </c>
      <c r="G787" s="6"/>
      <c r="H787" s="5" t="s">
        <v>1175</v>
      </c>
    </row>
    <row r="788" spans="1:8" ht="15.75" x14ac:dyDescent="0.25">
      <c r="A788" s="4">
        <v>63001706</v>
      </c>
      <c r="B788" s="4">
        <v>935371000842</v>
      </c>
      <c r="C788" s="5" t="s">
        <v>1957</v>
      </c>
      <c r="D788" s="6" t="s">
        <v>116</v>
      </c>
      <c r="E788" s="5" t="s">
        <v>199</v>
      </c>
      <c r="F788" s="6" t="s">
        <v>161</v>
      </c>
      <c r="G788" s="6"/>
      <c r="H788" s="5" t="s">
        <v>374</v>
      </c>
    </row>
    <row r="789" spans="1:8" ht="15.75" x14ac:dyDescent="0.25">
      <c r="A789" s="4">
        <v>63001707</v>
      </c>
      <c r="B789" s="4">
        <v>937326000348</v>
      </c>
      <c r="C789" s="5" t="s">
        <v>1958</v>
      </c>
      <c r="D789" s="6" t="s">
        <v>116</v>
      </c>
      <c r="E789" s="5" t="s">
        <v>199</v>
      </c>
      <c r="F789" s="6" t="s">
        <v>161</v>
      </c>
      <c r="G789" s="6"/>
      <c r="H789" s="5" t="s">
        <v>1176</v>
      </c>
    </row>
    <row r="790" spans="1:8" ht="15.75" x14ac:dyDescent="0.25">
      <c r="A790" s="4">
        <v>63001708</v>
      </c>
      <c r="B790" s="4">
        <v>942080001748</v>
      </c>
      <c r="C790" s="5" t="s">
        <v>120</v>
      </c>
      <c r="D790" s="6" t="s">
        <v>116</v>
      </c>
      <c r="E790" s="5" t="s">
        <v>262</v>
      </c>
      <c r="F790" s="6" t="s">
        <v>161</v>
      </c>
      <c r="G790" s="6">
        <f>_xlfn.XLOOKUP(DATA_TABLE[[#This Row],[Matricule]],GLOBAL!$B$2:$B$351,GLOBAL!$F$2:$F$351,"not found")</f>
        <v>23</v>
      </c>
      <c r="H790" s="5" t="s">
        <v>283</v>
      </c>
    </row>
    <row r="791" spans="1:8" ht="15.75" x14ac:dyDescent="0.25">
      <c r="A791" s="4">
        <v>63001723</v>
      </c>
      <c r="B791" s="4">
        <v>600389005445</v>
      </c>
      <c r="C791" s="5" t="s">
        <v>1959</v>
      </c>
      <c r="D791" s="6" t="s">
        <v>116</v>
      </c>
      <c r="E791" s="9" t="s">
        <v>541</v>
      </c>
      <c r="F791" s="10" t="s">
        <v>541</v>
      </c>
      <c r="G791" s="6"/>
      <c r="H791" s="5" t="s">
        <v>1177</v>
      </c>
    </row>
    <row r="792" spans="1:8" ht="15.75" x14ac:dyDescent="0.25">
      <c r="A792" s="4">
        <v>63001752</v>
      </c>
      <c r="B792" s="4">
        <v>670011027952</v>
      </c>
      <c r="C792" s="5" t="s">
        <v>1960</v>
      </c>
      <c r="D792" s="6" t="s">
        <v>116</v>
      </c>
      <c r="E792" s="5" t="s">
        <v>514</v>
      </c>
      <c r="F792" s="6" t="s">
        <v>161</v>
      </c>
      <c r="G792" s="6"/>
      <c r="H792" s="5" t="s">
        <v>1178</v>
      </c>
    </row>
    <row r="793" spans="1:8" ht="15.75" x14ac:dyDescent="0.25">
      <c r="A793" s="4">
        <v>63001753</v>
      </c>
      <c r="B793" s="4">
        <v>680159001651</v>
      </c>
      <c r="C793" s="5" t="s">
        <v>1961</v>
      </c>
      <c r="D793" s="6" t="s">
        <v>116</v>
      </c>
      <c r="E793" s="5" t="s">
        <v>514</v>
      </c>
      <c r="F793" s="6" t="s">
        <v>161</v>
      </c>
      <c r="G793" s="6"/>
      <c r="H793" s="5" t="s">
        <v>1179</v>
      </c>
    </row>
    <row r="794" spans="1:8" ht="15.75" x14ac:dyDescent="0.25">
      <c r="A794" s="4">
        <v>63001755</v>
      </c>
      <c r="B794" s="4">
        <v>708087000145</v>
      </c>
      <c r="C794" s="5" t="s">
        <v>1962</v>
      </c>
      <c r="D794" s="6" t="s">
        <v>116</v>
      </c>
      <c r="E794" s="5" t="s">
        <v>514</v>
      </c>
      <c r="F794" s="6" t="s">
        <v>161</v>
      </c>
      <c r="G794" s="6"/>
      <c r="H794" s="5" t="s">
        <v>1180</v>
      </c>
    </row>
    <row r="795" spans="1:8" ht="15.75" x14ac:dyDescent="0.25">
      <c r="A795" s="4">
        <v>63001756</v>
      </c>
      <c r="B795" s="4">
        <v>670071015450</v>
      </c>
      <c r="C795" s="5" t="s">
        <v>1963</v>
      </c>
      <c r="D795" s="6" t="s">
        <v>116</v>
      </c>
      <c r="E795" s="5" t="s">
        <v>189</v>
      </c>
      <c r="F795" s="6" t="s">
        <v>161</v>
      </c>
      <c r="G795" s="6"/>
      <c r="H795" s="5" t="s">
        <v>1181</v>
      </c>
    </row>
    <row r="796" spans="1:8" ht="15.75" x14ac:dyDescent="0.25">
      <c r="A796" s="4">
        <v>63001757</v>
      </c>
      <c r="B796" s="4">
        <v>670482005741</v>
      </c>
      <c r="C796" s="5" t="s">
        <v>1964</v>
      </c>
      <c r="D796" s="6" t="s">
        <v>116</v>
      </c>
      <c r="E796" s="5" t="s">
        <v>189</v>
      </c>
      <c r="F796" s="6" t="s">
        <v>161</v>
      </c>
      <c r="G796" s="6"/>
      <c r="H796" s="5" t="s">
        <v>1182</v>
      </c>
    </row>
    <row r="797" spans="1:8" ht="15.75" x14ac:dyDescent="0.25">
      <c r="A797" s="4">
        <v>63001758</v>
      </c>
      <c r="B797" s="4">
        <v>697350000150</v>
      </c>
      <c r="C797" s="5" t="s">
        <v>1965</v>
      </c>
      <c r="D797" s="6" t="s">
        <v>116</v>
      </c>
      <c r="E797" s="5" t="s">
        <v>514</v>
      </c>
      <c r="F797" s="6" t="s">
        <v>161</v>
      </c>
      <c r="G797" s="6"/>
      <c r="H797" s="5" t="s">
        <v>1183</v>
      </c>
    </row>
    <row r="798" spans="1:8" ht="15.75" x14ac:dyDescent="0.25">
      <c r="A798" s="4">
        <v>63001766</v>
      </c>
      <c r="B798" s="4">
        <v>688767000136</v>
      </c>
      <c r="C798" s="5" t="s">
        <v>1966</v>
      </c>
      <c r="D798" s="6" t="s">
        <v>116</v>
      </c>
      <c r="E798" s="5" t="s">
        <v>189</v>
      </c>
      <c r="F798" s="6" t="s">
        <v>161</v>
      </c>
      <c r="G798" s="6"/>
      <c r="H798" s="5" t="s">
        <v>1184</v>
      </c>
    </row>
    <row r="799" spans="1:8" ht="15.75" x14ac:dyDescent="0.25">
      <c r="A799" s="4">
        <v>63001772</v>
      </c>
      <c r="B799" s="4">
        <v>920329010557</v>
      </c>
      <c r="C799" s="5" t="s">
        <v>1967</v>
      </c>
      <c r="D799" s="6" t="s">
        <v>116</v>
      </c>
      <c r="E799" s="5" t="s">
        <v>171</v>
      </c>
      <c r="F799" s="6" t="s">
        <v>155</v>
      </c>
      <c r="G799" s="6"/>
      <c r="H799" s="5" t="s">
        <v>1185</v>
      </c>
    </row>
    <row r="800" spans="1:8" ht="15.75" x14ac:dyDescent="0.25">
      <c r="A800" s="4">
        <v>63001775</v>
      </c>
      <c r="B800" s="4">
        <v>921317008247</v>
      </c>
      <c r="C800" s="5" t="s">
        <v>1968</v>
      </c>
      <c r="D800" s="6" t="s">
        <v>116</v>
      </c>
      <c r="E800" s="5" t="s">
        <v>298</v>
      </c>
      <c r="F800" s="6" t="s">
        <v>161</v>
      </c>
      <c r="G800" s="6"/>
      <c r="H800" s="5" t="s">
        <v>1186</v>
      </c>
    </row>
    <row r="801" spans="1:8" ht="15.75" x14ac:dyDescent="0.25">
      <c r="A801" s="4">
        <v>63001779</v>
      </c>
      <c r="B801" s="4">
        <v>944583002041</v>
      </c>
      <c r="C801" s="5" t="s">
        <v>1969</v>
      </c>
      <c r="D801" s="6" t="s">
        <v>116</v>
      </c>
      <c r="E801" s="5" t="s">
        <v>298</v>
      </c>
      <c r="F801" s="6" t="s">
        <v>161</v>
      </c>
      <c r="G801" s="6"/>
      <c r="H801" s="5" t="s">
        <v>316</v>
      </c>
    </row>
    <row r="802" spans="1:8" ht="15.75" x14ac:dyDescent="0.25">
      <c r="A802" s="4">
        <v>63001786</v>
      </c>
      <c r="B802" s="4">
        <v>982669000735</v>
      </c>
      <c r="C802" s="5" t="s">
        <v>1970</v>
      </c>
      <c r="D802" s="6" t="s">
        <v>116</v>
      </c>
      <c r="E802" s="5" t="s">
        <v>171</v>
      </c>
      <c r="F802" s="6" t="s">
        <v>155</v>
      </c>
      <c r="G802" s="6"/>
      <c r="H802" s="5" t="s">
        <v>1187</v>
      </c>
    </row>
    <row r="803" spans="1:8" ht="15.75" x14ac:dyDescent="0.25">
      <c r="A803" s="4">
        <v>63001787</v>
      </c>
      <c r="B803" s="4">
        <v>961003003361</v>
      </c>
      <c r="C803" s="5" t="s">
        <v>1971</v>
      </c>
      <c r="D803" s="6" t="s">
        <v>116</v>
      </c>
      <c r="E803" s="5" t="s">
        <v>171</v>
      </c>
      <c r="F803" s="6" t="s">
        <v>155</v>
      </c>
      <c r="G803" s="6"/>
      <c r="H803" s="5" t="s">
        <v>1188</v>
      </c>
    </row>
    <row r="804" spans="1:8" ht="15.75" x14ac:dyDescent="0.25">
      <c r="A804" s="4">
        <v>63001790</v>
      </c>
      <c r="B804" s="4">
        <v>951012009448</v>
      </c>
      <c r="C804" s="5" t="s">
        <v>1972</v>
      </c>
      <c r="D804" s="6" t="s">
        <v>116</v>
      </c>
      <c r="E804" s="5" t="s">
        <v>171</v>
      </c>
      <c r="F804" s="6" t="s">
        <v>155</v>
      </c>
      <c r="G804" s="6"/>
      <c r="H804" s="5" t="s">
        <v>1189</v>
      </c>
    </row>
    <row r="805" spans="1:8" ht="15.75" x14ac:dyDescent="0.25">
      <c r="A805" s="4">
        <v>63001792</v>
      </c>
      <c r="B805" s="4">
        <v>942157002348</v>
      </c>
      <c r="C805" s="5" t="s">
        <v>1973</v>
      </c>
      <c r="D805" s="6" t="s">
        <v>116</v>
      </c>
      <c r="E805" s="5" t="s">
        <v>298</v>
      </c>
      <c r="F805" s="6" t="s">
        <v>161</v>
      </c>
      <c r="G805" s="6"/>
      <c r="H805" s="5" t="s">
        <v>1190</v>
      </c>
    </row>
    <row r="806" spans="1:8" ht="15.75" x14ac:dyDescent="0.25">
      <c r="A806" s="4">
        <v>63001794</v>
      </c>
      <c r="B806" s="4">
        <v>961984001735</v>
      </c>
      <c r="C806" s="5" t="s">
        <v>1974</v>
      </c>
      <c r="D806" s="6" t="s">
        <v>116</v>
      </c>
      <c r="E806" s="5" t="s">
        <v>171</v>
      </c>
      <c r="F806" s="6" t="s">
        <v>155</v>
      </c>
      <c r="G806" s="6"/>
      <c r="H806" s="5" t="s">
        <v>1191</v>
      </c>
    </row>
    <row r="807" spans="1:8" ht="15.75" x14ac:dyDescent="0.25">
      <c r="A807" s="4">
        <v>63001797</v>
      </c>
      <c r="B807" s="4">
        <v>950884006036</v>
      </c>
      <c r="C807" s="5" t="s">
        <v>1975</v>
      </c>
      <c r="D807" s="6" t="s">
        <v>116</v>
      </c>
      <c r="E807" s="5" t="s">
        <v>171</v>
      </c>
      <c r="F807" s="6" t="s">
        <v>155</v>
      </c>
      <c r="G807" s="6"/>
      <c r="H807" s="5" t="s">
        <v>1192</v>
      </c>
    </row>
    <row r="808" spans="1:8" ht="15.75" x14ac:dyDescent="0.25">
      <c r="A808" s="4">
        <v>63001800</v>
      </c>
      <c r="B808" s="4">
        <v>941721006249</v>
      </c>
      <c r="C808" s="5" t="s">
        <v>1976</v>
      </c>
      <c r="D808" s="6" t="s">
        <v>116</v>
      </c>
      <c r="E808" s="5" t="s">
        <v>171</v>
      </c>
      <c r="F808" s="6" t="s">
        <v>155</v>
      </c>
      <c r="G808" s="6"/>
      <c r="H808" s="5" t="s">
        <v>1193</v>
      </c>
    </row>
    <row r="809" spans="1:8" ht="15.75" x14ac:dyDescent="0.25">
      <c r="A809" s="4">
        <v>63001806</v>
      </c>
      <c r="B809" s="4">
        <v>940287009232</v>
      </c>
      <c r="C809" s="5" t="s">
        <v>1977</v>
      </c>
      <c r="D809" s="6" t="s">
        <v>116</v>
      </c>
      <c r="E809" s="5" t="s">
        <v>298</v>
      </c>
      <c r="F809" s="6" t="s">
        <v>161</v>
      </c>
      <c r="G809" s="6"/>
      <c r="H809" s="5" t="s">
        <v>297</v>
      </c>
    </row>
    <row r="810" spans="1:8" ht="15.75" x14ac:dyDescent="0.25">
      <c r="A810" s="4">
        <v>63001810</v>
      </c>
      <c r="B810" s="4">
        <v>720287005048</v>
      </c>
      <c r="C810" s="5" t="s">
        <v>1978</v>
      </c>
      <c r="D810" s="6" t="s">
        <v>116</v>
      </c>
      <c r="E810" s="5" t="s">
        <v>514</v>
      </c>
      <c r="F810" s="6" t="s">
        <v>161</v>
      </c>
      <c r="G810" s="6"/>
      <c r="H810" s="5" t="s">
        <v>1194</v>
      </c>
    </row>
    <row r="811" spans="1:8" ht="15.75" x14ac:dyDescent="0.25">
      <c r="A811" s="4">
        <v>63001811</v>
      </c>
      <c r="B811" s="4">
        <v>723223000266</v>
      </c>
      <c r="C811" s="5" t="s">
        <v>1979</v>
      </c>
      <c r="D811" s="6" t="s">
        <v>116</v>
      </c>
      <c r="E811" s="5" t="s">
        <v>514</v>
      </c>
      <c r="F811" s="6" t="s">
        <v>161</v>
      </c>
      <c r="G811" s="6"/>
      <c r="H811" s="5" t="s">
        <v>1195</v>
      </c>
    </row>
    <row r="812" spans="1:8" ht="15.75" x14ac:dyDescent="0.25">
      <c r="A812" s="4">
        <v>63001813</v>
      </c>
      <c r="B812" s="4">
        <v>680030021861</v>
      </c>
      <c r="C812" s="5" t="s">
        <v>1980</v>
      </c>
      <c r="D812" s="6" t="s">
        <v>116</v>
      </c>
      <c r="E812" s="5" t="s">
        <v>514</v>
      </c>
      <c r="F812" s="6" t="s">
        <v>161</v>
      </c>
      <c r="G812" s="6"/>
      <c r="H812" s="5" t="s">
        <v>1196</v>
      </c>
    </row>
    <row r="813" spans="1:8" ht="15.75" x14ac:dyDescent="0.25">
      <c r="A813" s="4">
        <v>63001816</v>
      </c>
      <c r="B813" s="4">
        <v>671879000443</v>
      </c>
      <c r="C813" s="5" t="s">
        <v>1981</v>
      </c>
      <c r="D813" s="6" t="s">
        <v>116</v>
      </c>
      <c r="E813" s="5" t="s">
        <v>189</v>
      </c>
      <c r="F813" s="6" t="s">
        <v>161</v>
      </c>
      <c r="G813" s="6"/>
      <c r="H813" s="5" t="s">
        <v>1197</v>
      </c>
    </row>
    <row r="814" spans="1:8" ht="15.75" x14ac:dyDescent="0.25">
      <c r="A814" s="4">
        <v>63001817</v>
      </c>
      <c r="B814" s="4">
        <v>673348000847</v>
      </c>
      <c r="C814" s="5" t="s">
        <v>1982</v>
      </c>
      <c r="D814" s="6" t="s">
        <v>116</v>
      </c>
      <c r="E814" s="5" t="s">
        <v>514</v>
      </c>
      <c r="F814" s="6" t="s">
        <v>161</v>
      </c>
      <c r="G814" s="6"/>
      <c r="H814" s="5" t="s">
        <v>1198</v>
      </c>
    </row>
    <row r="815" spans="1:8" ht="15.75" x14ac:dyDescent="0.25">
      <c r="A815" s="4">
        <v>63001818</v>
      </c>
      <c r="B815" s="4">
        <v>662796000937</v>
      </c>
      <c r="C815" s="5" t="s">
        <v>1983</v>
      </c>
      <c r="D815" s="6" t="s">
        <v>116</v>
      </c>
      <c r="E815" s="9" t="s">
        <v>541</v>
      </c>
      <c r="F815" s="10" t="s">
        <v>541</v>
      </c>
      <c r="G815" s="6"/>
      <c r="H815" s="5" t="s">
        <v>1199</v>
      </c>
    </row>
    <row r="816" spans="1:8" ht="15.75" x14ac:dyDescent="0.25">
      <c r="A816" s="4">
        <v>63001819</v>
      </c>
      <c r="B816" s="4">
        <v>640754000953</v>
      </c>
      <c r="C816" s="5" t="s">
        <v>1984</v>
      </c>
      <c r="D816" s="6" t="s">
        <v>116</v>
      </c>
      <c r="E816" s="9" t="s">
        <v>541</v>
      </c>
      <c r="F816" s="10" t="s">
        <v>541</v>
      </c>
      <c r="G816" s="6"/>
      <c r="H816" s="5" t="s">
        <v>1200</v>
      </c>
    </row>
    <row r="817" spans="1:8" ht="15.75" x14ac:dyDescent="0.25">
      <c r="A817" s="4">
        <v>63001820</v>
      </c>
      <c r="B817" s="4">
        <v>658484000141</v>
      </c>
      <c r="C817" s="5" t="s">
        <v>1985</v>
      </c>
      <c r="D817" s="6" t="s">
        <v>116</v>
      </c>
      <c r="E817" s="9" t="s">
        <v>541</v>
      </c>
      <c r="F817" s="10" t="s">
        <v>541</v>
      </c>
      <c r="G817" s="6"/>
      <c r="H817" s="5" t="s">
        <v>1201</v>
      </c>
    </row>
    <row r="818" spans="1:8" ht="15.75" x14ac:dyDescent="0.25">
      <c r="A818" s="4">
        <v>63001821</v>
      </c>
      <c r="B818" s="4">
        <v>651511000270</v>
      </c>
      <c r="C818" s="5" t="s">
        <v>1986</v>
      </c>
      <c r="D818" s="6" t="s">
        <v>116</v>
      </c>
      <c r="E818" s="5" t="s">
        <v>189</v>
      </c>
      <c r="F818" s="6" t="s">
        <v>161</v>
      </c>
      <c r="G818" s="6"/>
      <c r="H818" s="5" t="s">
        <v>1202</v>
      </c>
    </row>
    <row r="819" spans="1:8" ht="15.75" x14ac:dyDescent="0.25">
      <c r="A819" s="4">
        <v>63001833</v>
      </c>
      <c r="B819" s="4">
        <v>700428004754</v>
      </c>
      <c r="C819" s="5" t="s">
        <v>1987</v>
      </c>
      <c r="D819" s="6" t="s">
        <v>116</v>
      </c>
      <c r="E819" s="5" t="s">
        <v>514</v>
      </c>
      <c r="F819" s="6" t="s">
        <v>161</v>
      </c>
      <c r="G819" s="6"/>
      <c r="H819" s="5" t="s">
        <v>1203</v>
      </c>
    </row>
    <row r="820" spans="1:8" ht="15.75" x14ac:dyDescent="0.25">
      <c r="A820" s="4">
        <v>63001834</v>
      </c>
      <c r="B820" s="4">
        <v>723774000250</v>
      </c>
      <c r="C820" s="5" t="s">
        <v>1988</v>
      </c>
      <c r="D820" s="6" t="s">
        <v>116</v>
      </c>
      <c r="E820" s="5" t="s">
        <v>298</v>
      </c>
      <c r="F820" s="6" t="s">
        <v>161</v>
      </c>
      <c r="G820" s="6"/>
      <c r="H820" s="5" t="s">
        <v>1204</v>
      </c>
    </row>
    <row r="821" spans="1:8" ht="15.75" x14ac:dyDescent="0.25">
      <c r="A821" s="4">
        <v>63001836</v>
      </c>
      <c r="B821" s="4">
        <v>712873000352</v>
      </c>
      <c r="C821" s="5" t="s">
        <v>1989</v>
      </c>
      <c r="D821" s="6" t="s">
        <v>116</v>
      </c>
      <c r="E821" s="5" t="s">
        <v>516</v>
      </c>
      <c r="F821" s="6" t="s">
        <v>161</v>
      </c>
      <c r="G821" s="6"/>
      <c r="H821" s="5" t="s">
        <v>1205</v>
      </c>
    </row>
    <row r="822" spans="1:8" ht="15.75" x14ac:dyDescent="0.25">
      <c r="A822" s="4">
        <v>63001837</v>
      </c>
      <c r="B822" s="4">
        <v>720479001153</v>
      </c>
      <c r="C822" s="5" t="s">
        <v>1990</v>
      </c>
      <c r="D822" s="6" t="s">
        <v>116</v>
      </c>
      <c r="E822" s="5" t="s">
        <v>514</v>
      </c>
      <c r="F822" s="6" t="s">
        <v>161</v>
      </c>
      <c r="G822" s="6"/>
      <c r="H822" s="5" t="s">
        <v>1206</v>
      </c>
    </row>
    <row r="823" spans="1:8" ht="15.75" x14ac:dyDescent="0.25">
      <c r="A823" s="4">
        <v>63001866</v>
      </c>
      <c r="B823" s="4">
        <v>710054015158</v>
      </c>
      <c r="C823" s="5" t="s">
        <v>1991</v>
      </c>
      <c r="D823" s="6" t="s">
        <v>116</v>
      </c>
      <c r="E823" s="5" t="s">
        <v>189</v>
      </c>
      <c r="F823" s="6" t="s">
        <v>161</v>
      </c>
      <c r="G823" s="6"/>
      <c r="H823" s="5" t="s">
        <v>1207</v>
      </c>
    </row>
    <row r="824" spans="1:8" ht="15.75" x14ac:dyDescent="0.25">
      <c r="A824" s="4">
        <v>63001867</v>
      </c>
      <c r="B824" s="4">
        <v>710066015946</v>
      </c>
      <c r="C824" s="5" t="s">
        <v>1992</v>
      </c>
      <c r="D824" s="6" t="s">
        <v>116</v>
      </c>
      <c r="E824" s="5" t="s">
        <v>189</v>
      </c>
      <c r="F824" s="6" t="s">
        <v>161</v>
      </c>
      <c r="G824" s="6"/>
      <c r="H824" s="5" t="s">
        <v>1208</v>
      </c>
    </row>
    <row r="825" spans="1:8" ht="15.75" x14ac:dyDescent="0.25">
      <c r="A825" s="4">
        <v>63001868</v>
      </c>
      <c r="B825" s="4">
        <v>740295010352</v>
      </c>
      <c r="C825" s="5" t="s">
        <v>1993</v>
      </c>
      <c r="D825" s="6" t="s">
        <v>116</v>
      </c>
      <c r="E825" s="5" t="s">
        <v>189</v>
      </c>
      <c r="F825" s="6" t="s">
        <v>161</v>
      </c>
      <c r="G825" s="6"/>
      <c r="H825" s="5" t="s">
        <v>1209</v>
      </c>
    </row>
    <row r="826" spans="1:8" ht="15.75" x14ac:dyDescent="0.25">
      <c r="A826" s="4">
        <v>63001876</v>
      </c>
      <c r="B826" s="4">
        <v>690154008740</v>
      </c>
      <c r="C826" s="5" t="s">
        <v>1994</v>
      </c>
      <c r="D826" s="6" t="s">
        <v>116</v>
      </c>
      <c r="E826" s="5" t="s">
        <v>189</v>
      </c>
      <c r="F826" s="6" t="s">
        <v>161</v>
      </c>
      <c r="G826" s="6"/>
      <c r="H826" s="5" t="s">
        <v>1210</v>
      </c>
    </row>
    <row r="827" spans="1:8" ht="15.75" x14ac:dyDescent="0.25">
      <c r="A827" s="4">
        <v>63001877</v>
      </c>
      <c r="B827" s="4">
        <v>762062001356</v>
      </c>
      <c r="C827" s="5" t="s">
        <v>1995</v>
      </c>
      <c r="D827" s="6" t="s">
        <v>116</v>
      </c>
      <c r="E827" s="5" t="s">
        <v>189</v>
      </c>
      <c r="F827" s="6" t="s">
        <v>161</v>
      </c>
      <c r="G827" s="6"/>
      <c r="H827" s="5" t="s">
        <v>1211</v>
      </c>
    </row>
    <row r="828" spans="1:8" ht="15.75" x14ac:dyDescent="0.25">
      <c r="A828" s="4">
        <v>63001878</v>
      </c>
      <c r="B828" s="4">
        <v>770183015047</v>
      </c>
      <c r="C828" s="5" t="s">
        <v>1996</v>
      </c>
      <c r="D828" s="6" t="s">
        <v>116</v>
      </c>
      <c r="E828" s="5" t="s">
        <v>514</v>
      </c>
      <c r="F828" s="6" t="s">
        <v>161</v>
      </c>
      <c r="G828" s="6"/>
      <c r="H828" s="5" t="s">
        <v>1212</v>
      </c>
    </row>
    <row r="829" spans="1:8" ht="15.75" x14ac:dyDescent="0.25">
      <c r="A829" s="4">
        <v>63001880</v>
      </c>
      <c r="B829" s="4">
        <v>690350011656</v>
      </c>
      <c r="C829" s="5" t="s">
        <v>1997</v>
      </c>
      <c r="D829" s="6" t="s">
        <v>116</v>
      </c>
      <c r="E829" s="5" t="s">
        <v>189</v>
      </c>
      <c r="F829" s="6" t="s">
        <v>161</v>
      </c>
      <c r="G829" s="6"/>
      <c r="H829" s="5" t="s">
        <v>299</v>
      </c>
    </row>
    <row r="830" spans="1:8" ht="15.75" x14ac:dyDescent="0.25">
      <c r="A830" s="4">
        <v>63001881</v>
      </c>
      <c r="B830" s="4">
        <v>758580000142</v>
      </c>
      <c r="C830" s="5" t="s">
        <v>1997</v>
      </c>
      <c r="D830" s="6" t="s">
        <v>116</v>
      </c>
      <c r="E830" s="5" t="s">
        <v>189</v>
      </c>
      <c r="F830" s="6" t="s">
        <v>161</v>
      </c>
      <c r="G830" s="6"/>
      <c r="H830" s="5" t="s">
        <v>299</v>
      </c>
    </row>
    <row r="831" spans="1:8" ht="15.75" x14ac:dyDescent="0.25">
      <c r="A831" s="4">
        <v>63001882</v>
      </c>
      <c r="B831" s="4">
        <v>691602000563</v>
      </c>
      <c r="C831" s="5" t="s">
        <v>1998</v>
      </c>
      <c r="D831" s="6" t="s">
        <v>116</v>
      </c>
      <c r="E831" s="5" t="s">
        <v>518</v>
      </c>
      <c r="F831" s="6" t="s">
        <v>161</v>
      </c>
      <c r="G831" s="6"/>
      <c r="H831" s="5" t="s">
        <v>1213</v>
      </c>
    </row>
    <row r="832" spans="1:8" ht="15.75" x14ac:dyDescent="0.25">
      <c r="A832" s="4">
        <v>63001916</v>
      </c>
      <c r="B832" s="4">
        <v>802812001461</v>
      </c>
      <c r="C832" s="5" t="s">
        <v>1999</v>
      </c>
      <c r="D832" s="6" t="s">
        <v>116</v>
      </c>
      <c r="E832" s="9" t="s">
        <v>541</v>
      </c>
      <c r="F832" s="10" t="s">
        <v>541</v>
      </c>
      <c r="G832" s="6"/>
      <c r="H832" s="5" t="s">
        <v>1214</v>
      </c>
    </row>
    <row r="833" spans="1:8" ht="15.75" x14ac:dyDescent="0.25">
      <c r="A833" s="4">
        <v>63001918</v>
      </c>
      <c r="B833" s="4">
        <v>785886000532</v>
      </c>
      <c r="C833" s="5" t="s">
        <v>2000</v>
      </c>
      <c r="D833" s="6" t="s">
        <v>116</v>
      </c>
      <c r="E833" s="5" t="s">
        <v>521</v>
      </c>
      <c r="F833" s="6" t="s">
        <v>161</v>
      </c>
      <c r="G833" s="6"/>
      <c r="H833" s="5" t="s">
        <v>1215</v>
      </c>
    </row>
    <row r="834" spans="1:8" ht="15.75" x14ac:dyDescent="0.25">
      <c r="A834" s="4">
        <v>63001920</v>
      </c>
      <c r="B834" s="4">
        <v>750254018641</v>
      </c>
      <c r="C834" s="5" t="s">
        <v>2001</v>
      </c>
      <c r="D834" s="6" t="s">
        <v>116</v>
      </c>
      <c r="E834" s="5" t="s">
        <v>515</v>
      </c>
      <c r="F834" s="6" t="s">
        <v>161</v>
      </c>
      <c r="G834" s="6"/>
      <c r="H834" s="5" t="s">
        <v>1216</v>
      </c>
    </row>
    <row r="835" spans="1:8" ht="15.75" x14ac:dyDescent="0.25">
      <c r="A835" s="4">
        <v>63004776</v>
      </c>
      <c r="B835" s="4">
        <v>932634001155</v>
      </c>
      <c r="C835" s="5" t="s">
        <v>2002</v>
      </c>
      <c r="D835" s="6" t="s">
        <v>116</v>
      </c>
      <c r="E835" s="5" t="s">
        <v>171</v>
      </c>
      <c r="F835" s="6" t="s">
        <v>155</v>
      </c>
      <c r="G835" s="6"/>
      <c r="H835" s="5" t="s">
        <v>1217</v>
      </c>
    </row>
    <row r="836" spans="1:8" ht="15.75" x14ac:dyDescent="0.25">
      <c r="A836" s="4">
        <v>63004783</v>
      </c>
      <c r="B836" s="4">
        <v>963744001939</v>
      </c>
      <c r="C836" s="5" t="s">
        <v>2003</v>
      </c>
      <c r="D836" s="6" t="s">
        <v>116</v>
      </c>
      <c r="E836" s="5" t="s">
        <v>171</v>
      </c>
      <c r="F836" s="6" t="s">
        <v>155</v>
      </c>
      <c r="G836" s="6"/>
      <c r="H836" s="5" t="s">
        <v>1218</v>
      </c>
    </row>
    <row r="837" spans="1:8" ht="15.75" x14ac:dyDescent="0.25">
      <c r="A837" s="4">
        <v>63004784</v>
      </c>
      <c r="B837" s="4">
        <v>942152001355</v>
      </c>
      <c r="C837" s="5" t="s">
        <v>2004</v>
      </c>
      <c r="D837" s="6" t="s">
        <v>116</v>
      </c>
      <c r="E837" s="5" t="s">
        <v>171</v>
      </c>
      <c r="F837" s="6" t="s">
        <v>155</v>
      </c>
      <c r="G837" s="6"/>
      <c r="H837" s="5" t="s">
        <v>1219</v>
      </c>
    </row>
    <row r="838" spans="1:8" ht="15.75" x14ac:dyDescent="0.25">
      <c r="A838" s="4">
        <v>63004785</v>
      </c>
      <c r="B838" s="4">
        <v>963350002844</v>
      </c>
      <c r="C838" s="5" t="s">
        <v>2005</v>
      </c>
      <c r="D838" s="6" t="s">
        <v>116</v>
      </c>
      <c r="E838" s="5" t="s">
        <v>171</v>
      </c>
      <c r="F838" s="6" t="s">
        <v>155</v>
      </c>
      <c r="G838" s="6"/>
      <c r="H838" s="5" t="s">
        <v>1220</v>
      </c>
    </row>
    <row r="839" spans="1:8" ht="15.75" x14ac:dyDescent="0.25">
      <c r="A839" s="4">
        <v>63004786</v>
      </c>
      <c r="B839" s="4">
        <v>961319007837</v>
      </c>
      <c r="C839" s="5" t="s">
        <v>2006</v>
      </c>
      <c r="D839" s="6" t="s">
        <v>116</v>
      </c>
      <c r="E839" s="5" t="s">
        <v>171</v>
      </c>
      <c r="F839" s="6" t="s">
        <v>155</v>
      </c>
      <c r="G839" s="6"/>
      <c r="H839" s="5" t="s">
        <v>1221</v>
      </c>
    </row>
    <row r="840" spans="1:8" ht="15.75" x14ac:dyDescent="0.25">
      <c r="A840" s="4">
        <v>63004787</v>
      </c>
      <c r="B840" s="4">
        <v>970134033054</v>
      </c>
      <c r="C840" s="5" t="s">
        <v>2007</v>
      </c>
      <c r="D840" s="6" t="s">
        <v>116</v>
      </c>
      <c r="E840" s="5" t="s">
        <v>171</v>
      </c>
      <c r="F840" s="6" t="s">
        <v>155</v>
      </c>
      <c r="G840" s="6"/>
      <c r="H840" s="5" t="s">
        <v>1222</v>
      </c>
    </row>
    <row r="841" spans="1:8" ht="15.75" x14ac:dyDescent="0.25">
      <c r="A841" s="4">
        <v>63004788</v>
      </c>
      <c r="B841" s="4">
        <v>968972000430</v>
      </c>
      <c r="C841" s="5" t="s">
        <v>2008</v>
      </c>
      <c r="D841" s="6" t="s">
        <v>116</v>
      </c>
      <c r="E841" s="5" t="s">
        <v>171</v>
      </c>
      <c r="F841" s="6" t="s">
        <v>155</v>
      </c>
      <c r="G841" s="6"/>
      <c r="H841" s="5" t="s">
        <v>1223</v>
      </c>
    </row>
    <row r="842" spans="1:8" ht="15.75" x14ac:dyDescent="0.25">
      <c r="A842" s="4">
        <v>63004791</v>
      </c>
      <c r="B842" s="4">
        <v>960527014248</v>
      </c>
      <c r="C842" s="5" t="s">
        <v>2009</v>
      </c>
      <c r="D842" s="6" t="s">
        <v>116</v>
      </c>
      <c r="E842" s="5" t="s">
        <v>171</v>
      </c>
      <c r="F842" s="6" t="s">
        <v>155</v>
      </c>
      <c r="G842" s="6"/>
      <c r="H842" s="5" t="s">
        <v>1224</v>
      </c>
    </row>
    <row r="843" spans="1:8" ht="15.75" x14ac:dyDescent="0.25">
      <c r="A843" s="4">
        <v>63012461</v>
      </c>
      <c r="B843" s="4">
        <v>930271002552</v>
      </c>
      <c r="C843" s="5" t="s">
        <v>2010</v>
      </c>
      <c r="D843" s="6" t="s">
        <v>116</v>
      </c>
      <c r="E843" s="5" t="s">
        <v>262</v>
      </c>
      <c r="F843" s="6" t="s">
        <v>161</v>
      </c>
      <c r="G843" s="6"/>
      <c r="H843" s="5" t="s">
        <v>1225</v>
      </c>
    </row>
    <row r="844" spans="1:8" ht="15.75" x14ac:dyDescent="0.25">
      <c r="A844" s="4">
        <v>63012526</v>
      </c>
      <c r="B844" s="4">
        <v>928199000233</v>
      </c>
      <c r="C844" s="5" t="s">
        <v>121</v>
      </c>
      <c r="D844" s="6" t="s">
        <v>116</v>
      </c>
      <c r="E844" s="5" t="s">
        <v>272</v>
      </c>
      <c r="F844" s="6" t="s">
        <v>161</v>
      </c>
      <c r="G844" s="6">
        <f>_xlfn.XLOOKUP(DATA_TABLE[[#This Row],[Matricule]],GLOBAL!$B$2:$B$351,GLOBAL!$F$2:$F$351,"not found")</f>
        <v>22</v>
      </c>
      <c r="H844" s="5" t="s">
        <v>271</v>
      </c>
    </row>
    <row r="845" spans="1:8" ht="15.75" x14ac:dyDescent="0.25">
      <c r="A845" s="4">
        <v>63019931</v>
      </c>
      <c r="B845" s="4">
        <v>881316003551</v>
      </c>
      <c r="C845" s="5" t="s">
        <v>2011</v>
      </c>
      <c r="D845" s="6" t="s">
        <v>116</v>
      </c>
      <c r="E845" s="5" t="s">
        <v>171</v>
      </c>
      <c r="F845" s="6" t="s">
        <v>155</v>
      </c>
      <c r="G845" s="6">
        <f>_xlfn.XLOOKUP(DATA_TABLE[[#This Row],[Matricule]],GLOBAL!$B$2:$B$351,GLOBAL!$F$2:$F$351,"not found")</f>
        <v>20</v>
      </c>
      <c r="H845" s="5" t="s">
        <v>1226</v>
      </c>
    </row>
    <row r="846" spans="1:8" ht="15.75" x14ac:dyDescent="0.25">
      <c r="A846" s="4">
        <v>63019933</v>
      </c>
      <c r="B846" s="4">
        <v>948936000139</v>
      </c>
      <c r="C846" s="5" t="s">
        <v>2012</v>
      </c>
      <c r="D846" s="6" t="s">
        <v>116</v>
      </c>
      <c r="E846" s="5" t="s">
        <v>171</v>
      </c>
      <c r="F846" s="6" t="s">
        <v>155</v>
      </c>
      <c r="G846" s="6"/>
      <c r="H846" s="5" t="s">
        <v>1227</v>
      </c>
    </row>
    <row r="847" spans="1:8" ht="15.75" x14ac:dyDescent="0.25">
      <c r="A847" s="4">
        <v>63019934</v>
      </c>
      <c r="B847" s="4">
        <v>991818001743</v>
      </c>
      <c r="C847" s="5" t="s">
        <v>2013</v>
      </c>
      <c r="D847" s="6" t="s">
        <v>116</v>
      </c>
      <c r="E847" s="5" t="s">
        <v>171</v>
      </c>
      <c r="F847" s="6" t="s">
        <v>155</v>
      </c>
      <c r="G847" s="6"/>
      <c r="H847" s="5" t="s">
        <v>1228</v>
      </c>
    </row>
    <row r="848" spans="1:8" ht="15.75" x14ac:dyDescent="0.25">
      <c r="A848" s="4">
        <v>63019935</v>
      </c>
      <c r="B848" s="4">
        <v>989834000532</v>
      </c>
      <c r="C848" s="5" t="s">
        <v>2014</v>
      </c>
      <c r="D848" s="6" t="s">
        <v>116</v>
      </c>
      <c r="E848" s="5" t="s">
        <v>171</v>
      </c>
      <c r="F848" s="6" t="s">
        <v>155</v>
      </c>
      <c r="G848" s="6"/>
      <c r="H848" s="5" t="s">
        <v>1229</v>
      </c>
    </row>
    <row r="849" spans="1:8" ht="15.75" x14ac:dyDescent="0.25">
      <c r="A849" s="4">
        <v>63019936</v>
      </c>
      <c r="B849" s="4">
        <v>940826009833</v>
      </c>
      <c r="C849" s="5" t="s">
        <v>2015</v>
      </c>
      <c r="D849" s="6" t="s">
        <v>116</v>
      </c>
      <c r="E849" s="5" t="s">
        <v>171</v>
      </c>
      <c r="F849" s="6" t="s">
        <v>155</v>
      </c>
      <c r="G849" s="6"/>
      <c r="H849" s="5" t="s">
        <v>1230</v>
      </c>
    </row>
    <row r="850" spans="1:8" ht="15.75" x14ac:dyDescent="0.25">
      <c r="A850" s="4">
        <v>63019937</v>
      </c>
      <c r="B850" s="4">
        <v>963355000843</v>
      </c>
      <c r="C850" s="5" t="s">
        <v>2016</v>
      </c>
      <c r="D850" s="6" t="s">
        <v>116</v>
      </c>
      <c r="E850" s="5" t="s">
        <v>171</v>
      </c>
      <c r="F850" s="6" t="s">
        <v>155</v>
      </c>
      <c r="G850" s="6"/>
      <c r="H850" s="5" t="s">
        <v>1231</v>
      </c>
    </row>
    <row r="851" spans="1:8" ht="15.75" x14ac:dyDescent="0.25">
      <c r="A851" s="4">
        <v>63019938</v>
      </c>
      <c r="B851" s="4">
        <v>935466000739</v>
      </c>
      <c r="C851" s="5" t="s">
        <v>2017</v>
      </c>
      <c r="D851" s="6" t="s">
        <v>116</v>
      </c>
      <c r="E851" s="5" t="s">
        <v>171</v>
      </c>
      <c r="F851" s="6" t="s">
        <v>155</v>
      </c>
      <c r="G851" s="6"/>
      <c r="H851" s="5" t="s">
        <v>1232</v>
      </c>
    </row>
    <row r="852" spans="1:8" ht="15.75" x14ac:dyDescent="0.25">
      <c r="A852" s="4">
        <v>63019939</v>
      </c>
      <c r="B852" s="4">
        <v>515005176</v>
      </c>
      <c r="C852" s="5" t="s">
        <v>2018</v>
      </c>
      <c r="D852" s="6" t="s">
        <v>116</v>
      </c>
      <c r="E852" s="5" t="s">
        <v>171</v>
      </c>
      <c r="F852" s="6" t="s">
        <v>155</v>
      </c>
      <c r="G852" s="6"/>
      <c r="H852" s="5" t="s">
        <v>1233</v>
      </c>
    </row>
    <row r="853" spans="1:8" ht="15.75" x14ac:dyDescent="0.25">
      <c r="A853" s="4">
        <v>63019940</v>
      </c>
      <c r="B853" s="4">
        <v>990003025849</v>
      </c>
      <c r="C853" s="5" t="s">
        <v>2019</v>
      </c>
      <c r="D853" s="6" t="s">
        <v>116</v>
      </c>
      <c r="E853" s="5" t="s">
        <v>171</v>
      </c>
      <c r="F853" s="6" t="s">
        <v>155</v>
      </c>
      <c r="G853" s="6"/>
      <c r="H853" s="5" t="s">
        <v>1234</v>
      </c>
    </row>
    <row r="854" spans="1:8" ht="15.75" x14ac:dyDescent="0.25">
      <c r="A854" s="4">
        <v>63019941</v>
      </c>
      <c r="B854" s="4">
        <v>951659007431</v>
      </c>
      <c r="C854" s="5" t="s">
        <v>2020</v>
      </c>
      <c r="D854" s="6" t="s">
        <v>116</v>
      </c>
      <c r="E854" s="5" t="s">
        <v>171</v>
      </c>
      <c r="F854" s="6" t="s">
        <v>155</v>
      </c>
      <c r="G854" s="6"/>
      <c r="H854" s="5" t="s">
        <v>1235</v>
      </c>
    </row>
    <row r="855" spans="1:8" ht="15.75" x14ac:dyDescent="0.25">
      <c r="A855" s="4">
        <v>63020047</v>
      </c>
      <c r="B855" s="4">
        <v>182011671</v>
      </c>
      <c r="C855" s="5" t="s">
        <v>2021</v>
      </c>
      <c r="D855" s="6" t="s">
        <v>116</v>
      </c>
      <c r="E855" s="5" t="s">
        <v>171</v>
      </c>
      <c r="F855" s="6" t="s">
        <v>155</v>
      </c>
      <c r="G855" s="6"/>
      <c r="H855" s="5" t="s">
        <v>1236</v>
      </c>
    </row>
    <row r="856" spans="1:8" ht="15.75" x14ac:dyDescent="0.25">
      <c r="A856" s="4">
        <v>63020048</v>
      </c>
      <c r="B856" s="4">
        <v>950032085842</v>
      </c>
      <c r="C856" s="5" t="s">
        <v>2022</v>
      </c>
      <c r="D856" s="6" t="s">
        <v>116</v>
      </c>
      <c r="E856" s="5" t="s">
        <v>171</v>
      </c>
      <c r="F856" s="6" t="s">
        <v>155</v>
      </c>
      <c r="G856" s="6"/>
      <c r="H856" s="5" t="s">
        <v>1237</v>
      </c>
    </row>
    <row r="857" spans="1:8" ht="15.75" x14ac:dyDescent="0.25">
      <c r="A857" s="4">
        <v>63036912</v>
      </c>
      <c r="B857" s="4">
        <v>27728000658</v>
      </c>
      <c r="C857" s="5" t="s">
        <v>2133</v>
      </c>
      <c r="D857" s="6" t="s">
        <v>116</v>
      </c>
      <c r="E857" s="5" t="s">
        <v>171</v>
      </c>
      <c r="F857" s="6" t="s">
        <v>155</v>
      </c>
      <c r="G857" s="6"/>
      <c r="H857" s="5" t="s">
        <v>621</v>
      </c>
    </row>
    <row r="858" spans="1:8" ht="15.75" x14ac:dyDescent="0.25">
      <c r="A858" s="4">
        <v>63036918</v>
      </c>
      <c r="B858" s="4">
        <v>915555001048</v>
      </c>
      <c r="C858" s="5" t="s">
        <v>122</v>
      </c>
      <c r="D858" s="6" t="s">
        <v>116</v>
      </c>
      <c r="E858" s="5" t="s">
        <v>272</v>
      </c>
      <c r="F858" s="6" t="s">
        <v>161</v>
      </c>
      <c r="G858" s="6"/>
      <c r="H858" s="5" t="s">
        <v>1320</v>
      </c>
    </row>
    <row r="859" spans="1:8" ht="15.75" x14ac:dyDescent="0.25">
      <c r="A859" s="4">
        <v>63036919</v>
      </c>
      <c r="B859" s="4">
        <v>1903001974</v>
      </c>
      <c r="C859" s="5" t="s">
        <v>2134</v>
      </c>
      <c r="D859" s="6" t="s">
        <v>116</v>
      </c>
      <c r="E859" s="5" t="s">
        <v>171</v>
      </c>
      <c r="F859" s="6" t="s">
        <v>155</v>
      </c>
      <c r="G859" s="6"/>
      <c r="H859" s="5" t="s">
        <v>375</v>
      </c>
    </row>
    <row r="860" spans="1:8" ht="15.75" x14ac:dyDescent="0.25">
      <c r="A860" s="4">
        <v>63036920</v>
      </c>
      <c r="B860" s="4">
        <v>923190001646</v>
      </c>
      <c r="C860" s="5" t="s">
        <v>2135</v>
      </c>
      <c r="D860" s="6" t="s">
        <v>116</v>
      </c>
      <c r="E860" s="5" t="s">
        <v>171</v>
      </c>
      <c r="F860" s="6" t="s">
        <v>155</v>
      </c>
      <c r="G860" s="6"/>
      <c r="H860" s="5" t="s">
        <v>174</v>
      </c>
    </row>
    <row r="861" spans="1:8" ht="15.75" x14ac:dyDescent="0.25">
      <c r="A861" s="4">
        <v>63036921</v>
      </c>
      <c r="B861" s="4">
        <v>20681008157</v>
      </c>
      <c r="C861" s="5" t="s">
        <v>123</v>
      </c>
      <c r="D861" s="6" t="s">
        <v>89</v>
      </c>
      <c r="E861" s="5" t="s">
        <v>171</v>
      </c>
      <c r="F861" s="6" t="s">
        <v>155</v>
      </c>
      <c r="G861" s="6"/>
      <c r="H861" s="5" t="s">
        <v>245</v>
      </c>
    </row>
    <row r="862" spans="1:8" ht="15.75" x14ac:dyDescent="0.25">
      <c r="A862" s="4">
        <v>63036929</v>
      </c>
      <c r="B862" s="4">
        <v>950719007836</v>
      </c>
      <c r="C862" s="5" t="s">
        <v>124</v>
      </c>
      <c r="D862" s="6" t="s">
        <v>116</v>
      </c>
      <c r="E862" s="5" t="s">
        <v>272</v>
      </c>
      <c r="F862" s="6" t="s">
        <v>161</v>
      </c>
      <c r="G862" s="6"/>
      <c r="H862" s="5" t="s">
        <v>1321</v>
      </c>
    </row>
    <row r="863" spans="1:8" ht="15.75" x14ac:dyDescent="0.25">
      <c r="A863" s="4">
        <v>63036930</v>
      </c>
      <c r="B863" s="4">
        <v>15578001059</v>
      </c>
      <c r="C863" s="5" t="s">
        <v>2136</v>
      </c>
      <c r="D863" s="6" t="s">
        <v>116</v>
      </c>
      <c r="E863" s="9" t="s">
        <v>541</v>
      </c>
      <c r="F863" s="10" t="s">
        <v>541</v>
      </c>
      <c r="G863" s="6"/>
      <c r="H863" s="5" t="s">
        <v>170</v>
      </c>
    </row>
    <row r="864" spans="1:8" ht="15.75" x14ac:dyDescent="0.25">
      <c r="A864" s="4">
        <v>63036932</v>
      </c>
      <c r="B864" s="4">
        <v>2424004768</v>
      </c>
      <c r="C864" s="5" t="s">
        <v>2023</v>
      </c>
      <c r="D864" s="6" t="s">
        <v>116</v>
      </c>
      <c r="E864" s="5" t="s">
        <v>171</v>
      </c>
      <c r="F864" s="6" t="s">
        <v>155</v>
      </c>
      <c r="G864" s="6"/>
      <c r="H864" s="5" t="s">
        <v>1238</v>
      </c>
    </row>
    <row r="865" spans="1:8" ht="15.75" x14ac:dyDescent="0.25">
      <c r="A865" s="4">
        <v>63036984</v>
      </c>
      <c r="B865" s="4">
        <v>21964005654</v>
      </c>
      <c r="C865" s="5" t="s">
        <v>2137</v>
      </c>
      <c r="D865" s="6" t="s">
        <v>116</v>
      </c>
      <c r="E865" s="5" t="s">
        <v>272</v>
      </c>
      <c r="F865" s="6" t="s">
        <v>161</v>
      </c>
      <c r="G865" s="6"/>
      <c r="H865" s="5" t="s">
        <v>622</v>
      </c>
    </row>
    <row r="866" spans="1:8" ht="15.75" x14ac:dyDescent="0.25">
      <c r="A866" s="4">
        <v>63036991</v>
      </c>
      <c r="B866" s="4">
        <v>30604002577</v>
      </c>
      <c r="C866" s="5" t="s">
        <v>2138</v>
      </c>
      <c r="D866" s="6" t="s">
        <v>116</v>
      </c>
      <c r="E866" s="5" t="s">
        <v>171</v>
      </c>
      <c r="F866" s="6" t="s">
        <v>155</v>
      </c>
      <c r="G866" s="6"/>
      <c r="H866" s="5" t="s">
        <v>623</v>
      </c>
    </row>
    <row r="867" spans="1:8" ht="15.75" x14ac:dyDescent="0.25">
      <c r="A867" s="4">
        <v>63036994</v>
      </c>
      <c r="B867" s="4">
        <v>20457016558</v>
      </c>
      <c r="C867" s="5" t="s">
        <v>2139</v>
      </c>
      <c r="D867" s="6" t="s">
        <v>116</v>
      </c>
      <c r="E867" s="5" t="s">
        <v>171</v>
      </c>
      <c r="F867" s="6" t="s">
        <v>155</v>
      </c>
      <c r="G867" s="6"/>
      <c r="H867" s="5" t="s">
        <v>624</v>
      </c>
    </row>
    <row r="868" spans="1:8" ht="15.75" x14ac:dyDescent="0.25">
      <c r="A868" s="4">
        <v>63037003</v>
      </c>
      <c r="B868" s="4">
        <v>20629005365</v>
      </c>
      <c r="C868" s="5" t="s">
        <v>2140</v>
      </c>
      <c r="D868" s="6" t="s">
        <v>116</v>
      </c>
      <c r="E868" s="5" t="s">
        <v>171</v>
      </c>
      <c r="F868" s="6" t="s">
        <v>155</v>
      </c>
      <c r="G868" s="6"/>
      <c r="H868" s="5" t="s">
        <v>263</v>
      </c>
    </row>
    <row r="869" spans="1:8" ht="15.75" x14ac:dyDescent="0.25">
      <c r="A869" s="4">
        <v>63037004</v>
      </c>
      <c r="B869" s="4">
        <v>30234025963</v>
      </c>
      <c r="C869" s="5" t="s">
        <v>2141</v>
      </c>
      <c r="D869" s="6" t="s">
        <v>89</v>
      </c>
      <c r="E869" s="5" t="s">
        <v>171</v>
      </c>
      <c r="F869" s="6" t="s">
        <v>155</v>
      </c>
      <c r="G869" s="6"/>
      <c r="H869" s="5" t="s">
        <v>237</v>
      </c>
    </row>
    <row r="870" spans="1:8" ht="15.75" x14ac:dyDescent="0.25">
      <c r="A870" s="4">
        <v>63037016</v>
      </c>
      <c r="B870" s="4">
        <v>920764010055</v>
      </c>
      <c r="C870" s="5" t="s">
        <v>2024</v>
      </c>
      <c r="D870" s="6" t="s">
        <v>116</v>
      </c>
      <c r="E870" s="5" t="s">
        <v>171</v>
      </c>
      <c r="F870" s="6" t="s">
        <v>155</v>
      </c>
      <c r="G870" s="6"/>
      <c r="H870" s="5" t="s">
        <v>1239</v>
      </c>
    </row>
    <row r="871" spans="1:8" ht="15.75" x14ac:dyDescent="0.25">
      <c r="A871" s="4">
        <v>63037017</v>
      </c>
      <c r="B871" s="4">
        <v>990092014439</v>
      </c>
      <c r="C871" s="5" t="s">
        <v>2025</v>
      </c>
      <c r="D871" s="6" t="s">
        <v>116</v>
      </c>
      <c r="E871" s="5" t="s">
        <v>171</v>
      </c>
      <c r="F871" s="6" t="s">
        <v>155</v>
      </c>
      <c r="G871" s="6"/>
      <c r="H871" s="5" t="s">
        <v>1240</v>
      </c>
    </row>
    <row r="872" spans="1:8" ht="15.75" x14ac:dyDescent="0.25">
      <c r="A872" s="4">
        <v>63037023</v>
      </c>
      <c r="B872" s="4">
        <v>974798000330</v>
      </c>
      <c r="C872" s="5" t="s">
        <v>125</v>
      </c>
      <c r="D872" s="6" t="s">
        <v>116</v>
      </c>
      <c r="E872" s="5" t="s">
        <v>272</v>
      </c>
      <c r="F872" s="6" t="s">
        <v>161</v>
      </c>
      <c r="G872" s="6"/>
      <c r="H872" s="5" t="s">
        <v>1322</v>
      </c>
    </row>
    <row r="873" spans="1:8" ht="15.75" x14ac:dyDescent="0.25">
      <c r="A873" s="4">
        <v>63037028</v>
      </c>
      <c r="B873" s="4">
        <v>40055003272</v>
      </c>
      <c r="C873" s="5" t="s">
        <v>2142</v>
      </c>
      <c r="D873" s="6" t="s">
        <v>116</v>
      </c>
      <c r="E873" s="5" t="s">
        <v>171</v>
      </c>
      <c r="F873" s="6" t="s">
        <v>155</v>
      </c>
      <c r="G873" s="6"/>
      <c r="H873" s="5" t="s">
        <v>625</v>
      </c>
    </row>
    <row r="874" spans="1:8" ht="15.75" x14ac:dyDescent="0.25">
      <c r="A874" s="4">
        <v>63037042</v>
      </c>
      <c r="B874" s="4">
        <v>20029018859</v>
      </c>
      <c r="C874" s="5" t="s">
        <v>2143</v>
      </c>
      <c r="D874" s="6" t="s">
        <v>116</v>
      </c>
      <c r="E874" s="5" t="s">
        <v>171</v>
      </c>
      <c r="F874" s="6" t="s">
        <v>155</v>
      </c>
      <c r="G874" s="6"/>
      <c r="H874" s="5" t="s">
        <v>626</v>
      </c>
    </row>
    <row r="875" spans="1:8" ht="15.75" x14ac:dyDescent="0.25">
      <c r="A875" s="4">
        <v>63043453</v>
      </c>
      <c r="B875" s="4">
        <v>30324003673</v>
      </c>
      <c r="C875" s="5" t="s">
        <v>2026</v>
      </c>
      <c r="D875" s="6" t="s">
        <v>116</v>
      </c>
      <c r="E875" s="9" t="s">
        <v>541</v>
      </c>
      <c r="F875" s="10" t="s">
        <v>541</v>
      </c>
      <c r="G875" s="6"/>
      <c r="H875" s="5" t="s">
        <v>1241</v>
      </c>
    </row>
    <row r="876" spans="1:8" ht="15.75" x14ac:dyDescent="0.25">
      <c r="A876" s="4">
        <v>63043628</v>
      </c>
      <c r="B876" s="4">
        <v>930846010055</v>
      </c>
      <c r="C876" s="5" t="s">
        <v>2027</v>
      </c>
      <c r="D876" s="6" t="s">
        <v>116</v>
      </c>
      <c r="E876" s="5" t="s">
        <v>171</v>
      </c>
      <c r="F876" s="6" t="s">
        <v>155</v>
      </c>
      <c r="G876" s="6"/>
      <c r="H876" s="5" t="s">
        <v>1242</v>
      </c>
    </row>
    <row r="877" spans="1:8" ht="15.75" x14ac:dyDescent="0.25">
      <c r="A877" s="4">
        <v>63043635</v>
      </c>
      <c r="B877" s="4">
        <v>951214004652</v>
      </c>
      <c r="C877" s="5" t="s">
        <v>2028</v>
      </c>
      <c r="D877" s="6" t="s">
        <v>116</v>
      </c>
      <c r="E877" s="5" t="s">
        <v>171</v>
      </c>
      <c r="F877" s="6" t="s">
        <v>155</v>
      </c>
      <c r="G877" s="6"/>
      <c r="H877" s="5" t="s">
        <v>1243</v>
      </c>
    </row>
    <row r="878" spans="1:8" ht="15.75" x14ac:dyDescent="0.25">
      <c r="A878" s="4">
        <v>63044677</v>
      </c>
      <c r="B878" s="4">
        <v>941098005039</v>
      </c>
      <c r="C878" s="5" t="s">
        <v>2029</v>
      </c>
      <c r="D878" s="6" t="s">
        <v>116</v>
      </c>
      <c r="E878" s="5" t="s">
        <v>199</v>
      </c>
      <c r="F878" s="6" t="s">
        <v>155</v>
      </c>
      <c r="G878" s="6"/>
      <c r="H878" s="5" t="s">
        <v>1244</v>
      </c>
    </row>
    <row r="879" spans="1:8" ht="15.75" x14ac:dyDescent="0.25">
      <c r="A879" s="4">
        <v>63001314</v>
      </c>
      <c r="B879" s="4">
        <v>841870000550</v>
      </c>
      <c r="C879" s="5" t="s">
        <v>126</v>
      </c>
      <c r="D879" s="6" t="s">
        <v>11</v>
      </c>
      <c r="E879" s="5" t="s">
        <v>434</v>
      </c>
      <c r="F879" s="6" t="s">
        <v>155</v>
      </c>
      <c r="G879" s="6"/>
      <c r="H879" s="5" t="s">
        <v>1323</v>
      </c>
    </row>
    <row r="880" spans="1:8" ht="15.75" x14ac:dyDescent="0.25">
      <c r="A880" s="4">
        <v>63001363</v>
      </c>
      <c r="B880" s="4">
        <v>840706002656</v>
      </c>
      <c r="C880" s="5" t="s">
        <v>2030</v>
      </c>
      <c r="D880" s="6" t="s">
        <v>11</v>
      </c>
      <c r="E880" s="5" t="s">
        <v>431</v>
      </c>
      <c r="F880" s="6" t="s">
        <v>161</v>
      </c>
      <c r="G880" s="6"/>
      <c r="H880" s="5" t="s">
        <v>1245</v>
      </c>
    </row>
    <row r="881" spans="1:8" ht="15.75" x14ac:dyDescent="0.25">
      <c r="A881" s="4">
        <v>63001364</v>
      </c>
      <c r="B881" s="4">
        <v>840593011842</v>
      </c>
      <c r="C881" s="5" t="s">
        <v>127</v>
      </c>
      <c r="D881" s="6" t="s">
        <v>11</v>
      </c>
      <c r="E881" s="5" t="s">
        <v>365</v>
      </c>
      <c r="F881" s="6" t="s">
        <v>161</v>
      </c>
      <c r="G881" s="6"/>
      <c r="H881" s="5" t="s">
        <v>364</v>
      </c>
    </row>
    <row r="882" spans="1:8" ht="15.75" x14ac:dyDescent="0.25">
      <c r="A882" s="4">
        <v>63001365</v>
      </c>
      <c r="B882" s="4">
        <v>836707000252</v>
      </c>
      <c r="C882" s="5" t="s">
        <v>2031</v>
      </c>
      <c r="D882" s="6" t="s">
        <v>11</v>
      </c>
      <c r="E882" s="5" t="s">
        <v>427</v>
      </c>
      <c r="F882" s="6" t="s">
        <v>155</v>
      </c>
      <c r="G882" s="6"/>
      <c r="H882" s="5" t="s">
        <v>1246</v>
      </c>
    </row>
    <row r="883" spans="1:8" ht="15.75" x14ac:dyDescent="0.25">
      <c r="A883" s="4">
        <v>63001366</v>
      </c>
      <c r="B883" s="4">
        <v>810323012463</v>
      </c>
      <c r="C883" s="5" t="s">
        <v>2032</v>
      </c>
      <c r="D883" s="6" t="s">
        <v>11</v>
      </c>
      <c r="E883" s="5" t="s">
        <v>427</v>
      </c>
      <c r="F883" s="6" t="s">
        <v>155</v>
      </c>
      <c r="G883" s="6"/>
      <c r="H883" s="5" t="s">
        <v>1247</v>
      </c>
    </row>
    <row r="884" spans="1:8" ht="15.75" x14ac:dyDescent="0.25">
      <c r="A884" s="4">
        <v>63001367</v>
      </c>
      <c r="B884" s="4">
        <v>812518000756</v>
      </c>
      <c r="C884" s="5" t="s">
        <v>2033</v>
      </c>
      <c r="D884" s="6" t="s">
        <v>11</v>
      </c>
      <c r="E884" s="9" t="s">
        <v>541</v>
      </c>
      <c r="F884" s="10" t="s">
        <v>541</v>
      </c>
      <c r="G884" s="6"/>
      <c r="H884" s="5" t="s">
        <v>1248</v>
      </c>
    </row>
    <row r="885" spans="1:8" ht="15.75" x14ac:dyDescent="0.25">
      <c r="A885" s="4">
        <v>63001369</v>
      </c>
      <c r="B885" s="4">
        <v>826003000858</v>
      </c>
      <c r="C885" s="5" t="s">
        <v>128</v>
      </c>
      <c r="D885" s="6" t="s">
        <v>11</v>
      </c>
      <c r="E885" s="5" t="s">
        <v>213</v>
      </c>
      <c r="F885" s="6" t="s">
        <v>161</v>
      </c>
      <c r="G885" s="6"/>
      <c r="H885" s="5" t="s">
        <v>1324</v>
      </c>
    </row>
    <row r="886" spans="1:8" ht="15.75" x14ac:dyDescent="0.25">
      <c r="A886" s="4">
        <v>63001400</v>
      </c>
      <c r="B886" s="4">
        <v>902469002048</v>
      </c>
      <c r="C886" s="5" t="s">
        <v>2034</v>
      </c>
      <c r="D886" s="6" t="s">
        <v>11</v>
      </c>
      <c r="E886" s="5" t="s">
        <v>427</v>
      </c>
      <c r="F886" s="6" t="s">
        <v>155</v>
      </c>
      <c r="G886" s="6"/>
      <c r="H886" s="5" t="s">
        <v>1249</v>
      </c>
    </row>
    <row r="887" spans="1:8" ht="15.75" x14ac:dyDescent="0.25">
      <c r="A887" s="4">
        <v>63001401</v>
      </c>
      <c r="B887" s="4">
        <v>850285004542</v>
      </c>
      <c r="C887" s="5" t="s">
        <v>2035</v>
      </c>
      <c r="D887" s="6" t="s">
        <v>11</v>
      </c>
      <c r="E887" s="5" t="s">
        <v>429</v>
      </c>
      <c r="F887" s="6" t="s">
        <v>155</v>
      </c>
      <c r="G887" s="6"/>
      <c r="H887" s="5" t="s">
        <v>1250</v>
      </c>
    </row>
    <row r="888" spans="1:8" ht="15.75" x14ac:dyDescent="0.25">
      <c r="A888" s="4">
        <v>63001498</v>
      </c>
      <c r="B888" s="4">
        <v>887274000635</v>
      </c>
      <c r="C888" s="5" t="s">
        <v>2036</v>
      </c>
      <c r="D888" s="6" t="s">
        <v>11</v>
      </c>
      <c r="E888" s="5" t="s">
        <v>430</v>
      </c>
      <c r="F888" s="6" t="s">
        <v>161</v>
      </c>
      <c r="G888" s="6"/>
      <c r="H888" s="5" t="s">
        <v>1251</v>
      </c>
    </row>
    <row r="889" spans="1:8" ht="15.75" x14ac:dyDescent="0.25">
      <c r="A889" s="4">
        <v>63001603</v>
      </c>
      <c r="B889" s="4">
        <v>900018042162</v>
      </c>
      <c r="C889" s="5" t="s">
        <v>2037</v>
      </c>
      <c r="D889" s="6" t="s">
        <v>11</v>
      </c>
      <c r="E889" s="5" t="s">
        <v>433</v>
      </c>
      <c r="F889" s="6" t="s">
        <v>155</v>
      </c>
      <c r="G889" s="6"/>
      <c r="H889" s="5" t="s">
        <v>1252</v>
      </c>
    </row>
    <row r="890" spans="1:8" ht="15.75" x14ac:dyDescent="0.25">
      <c r="A890" s="4">
        <v>63001604</v>
      </c>
      <c r="B890" s="4">
        <v>873607002845</v>
      </c>
      <c r="C890" s="5" t="s">
        <v>2038</v>
      </c>
      <c r="D890" s="6" t="s">
        <v>11</v>
      </c>
      <c r="E890" s="5" t="s">
        <v>437</v>
      </c>
      <c r="F890" s="6" t="s">
        <v>155</v>
      </c>
      <c r="G890" s="6"/>
      <c r="H890" s="5" t="s">
        <v>1253</v>
      </c>
    </row>
    <row r="891" spans="1:8" ht="15.75" x14ac:dyDescent="0.25">
      <c r="A891" s="4">
        <v>63001612</v>
      </c>
      <c r="B891" s="4">
        <v>940013049446</v>
      </c>
      <c r="C891" s="5" t="s">
        <v>129</v>
      </c>
      <c r="D891" s="6" t="s">
        <v>11</v>
      </c>
      <c r="E891" s="5" t="s">
        <v>213</v>
      </c>
      <c r="F891" s="6" t="s">
        <v>161</v>
      </c>
      <c r="G891" s="6">
        <f>_xlfn.XLOOKUP(DATA_TABLE[[#This Row],[Matricule]],GLOBAL!$B$2:$B$351,GLOBAL!$F$2:$F$351,"not found")</f>
        <v>21</v>
      </c>
      <c r="H891" s="5" t="s">
        <v>252</v>
      </c>
    </row>
    <row r="892" spans="1:8" ht="15.75" x14ac:dyDescent="0.25">
      <c r="A892" s="4">
        <v>63001642</v>
      </c>
      <c r="B892" s="4">
        <v>920835008539</v>
      </c>
      <c r="C892" s="5" t="s">
        <v>130</v>
      </c>
      <c r="D892" s="6" t="s">
        <v>11</v>
      </c>
      <c r="E892" s="5" t="s">
        <v>315</v>
      </c>
      <c r="F892" s="6" t="s">
        <v>155</v>
      </c>
      <c r="G892" s="6"/>
      <c r="H892" s="5" t="s">
        <v>314</v>
      </c>
    </row>
    <row r="893" spans="1:8" ht="15.75" x14ac:dyDescent="0.25">
      <c r="A893" s="4">
        <v>63001643</v>
      </c>
      <c r="B893" s="4">
        <v>920975004637</v>
      </c>
      <c r="C893" s="5" t="s">
        <v>2039</v>
      </c>
      <c r="D893" s="6" t="s">
        <v>11</v>
      </c>
      <c r="E893" s="5" t="s">
        <v>430</v>
      </c>
      <c r="F893" s="6" t="s">
        <v>161</v>
      </c>
      <c r="G893" s="6"/>
      <c r="H893" s="5" t="s">
        <v>1254</v>
      </c>
    </row>
    <row r="894" spans="1:8" ht="15.75" x14ac:dyDescent="0.25">
      <c r="A894" s="4">
        <v>63001644</v>
      </c>
      <c r="B894" s="4">
        <v>938500000354</v>
      </c>
      <c r="C894" s="5" t="s">
        <v>2144</v>
      </c>
      <c r="D894" s="6" t="s">
        <v>11</v>
      </c>
      <c r="E894" s="5" t="s">
        <v>213</v>
      </c>
      <c r="F894" s="6" t="s">
        <v>161</v>
      </c>
      <c r="G894" s="6"/>
      <c r="H894" s="5" t="s">
        <v>627</v>
      </c>
    </row>
    <row r="895" spans="1:8" ht="15.75" x14ac:dyDescent="0.25">
      <c r="A895" s="4">
        <v>63001646</v>
      </c>
      <c r="B895" s="4">
        <v>939456000337</v>
      </c>
      <c r="C895" s="5" t="s">
        <v>131</v>
      </c>
      <c r="D895" s="6" t="s">
        <v>11</v>
      </c>
      <c r="E895" s="9" t="s">
        <v>541</v>
      </c>
      <c r="F895" s="10" t="s">
        <v>541</v>
      </c>
      <c r="G895" s="6"/>
      <c r="H895" s="5" t="s">
        <v>1325</v>
      </c>
    </row>
    <row r="896" spans="1:8" ht="15.75" x14ac:dyDescent="0.25">
      <c r="A896" s="4">
        <v>63001656</v>
      </c>
      <c r="B896" s="4">
        <v>870432021060</v>
      </c>
      <c r="C896" s="5" t="s">
        <v>2040</v>
      </c>
      <c r="D896" s="6" t="s">
        <v>11</v>
      </c>
      <c r="E896" s="5" t="s">
        <v>230</v>
      </c>
      <c r="F896" s="6" t="s">
        <v>231</v>
      </c>
      <c r="G896" s="6">
        <f>_xlfn.XLOOKUP(DATA_TABLE[[#This Row],[Matricule]],GLOBAL!$B$2:$B$351,GLOBAL!$F$2:$F$351,"not found")</f>
        <v>14</v>
      </c>
      <c r="H896" s="5" t="s">
        <v>229</v>
      </c>
    </row>
    <row r="897" spans="1:8" ht="15.75" x14ac:dyDescent="0.25">
      <c r="A897" s="4">
        <v>63001718</v>
      </c>
      <c r="B897" s="4">
        <v>920121037452</v>
      </c>
      <c r="C897" s="5" t="s">
        <v>2041</v>
      </c>
      <c r="D897" s="6" t="s">
        <v>11</v>
      </c>
      <c r="E897" s="5" t="s">
        <v>435</v>
      </c>
      <c r="F897" s="6" t="s">
        <v>155</v>
      </c>
      <c r="G897" s="6"/>
      <c r="H897" s="5" t="s">
        <v>1255</v>
      </c>
    </row>
    <row r="898" spans="1:8" ht="15.75" x14ac:dyDescent="0.25">
      <c r="A898" s="4">
        <v>63001764</v>
      </c>
      <c r="B898" s="4">
        <v>858150000546</v>
      </c>
      <c r="C898" s="5" t="s">
        <v>132</v>
      </c>
      <c r="D898" s="6" t="s">
        <v>11</v>
      </c>
      <c r="E898" s="5" t="s">
        <v>432</v>
      </c>
      <c r="F898" s="6" t="s">
        <v>161</v>
      </c>
      <c r="G898" s="6"/>
      <c r="H898" s="5" t="s">
        <v>1326</v>
      </c>
    </row>
    <row r="899" spans="1:8" ht="15.75" x14ac:dyDescent="0.25">
      <c r="A899" s="4">
        <v>63001914</v>
      </c>
      <c r="B899" s="4">
        <v>794693001138</v>
      </c>
      <c r="C899" s="5" t="s">
        <v>133</v>
      </c>
      <c r="D899" s="6" t="s">
        <v>11</v>
      </c>
      <c r="E899" s="5" t="s">
        <v>428</v>
      </c>
      <c r="F899" s="6" t="s">
        <v>161</v>
      </c>
      <c r="G899" s="6"/>
      <c r="H899" s="5" t="s">
        <v>1327</v>
      </c>
    </row>
    <row r="900" spans="1:8" ht="15.75" x14ac:dyDescent="0.25">
      <c r="A900" s="4">
        <v>63004790</v>
      </c>
      <c r="B900" s="4">
        <v>687474000142</v>
      </c>
      <c r="C900" s="5" t="s">
        <v>2042</v>
      </c>
      <c r="D900" s="6" t="s">
        <v>11</v>
      </c>
      <c r="E900" s="5" t="s">
        <v>429</v>
      </c>
      <c r="F900" s="6" t="s">
        <v>155</v>
      </c>
      <c r="G900" s="6"/>
      <c r="H900" s="5" t="s">
        <v>1256</v>
      </c>
    </row>
    <row r="901" spans="1:8" ht="15.75" x14ac:dyDescent="0.25">
      <c r="A901" s="4">
        <v>63006389</v>
      </c>
      <c r="B901" s="4">
        <v>788138000244</v>
      </c>
      <c r="C901" s="5" t="s">
        <v>134</v>
      </c>
      <c r="D901" s="6" t="s">
        <v>11</v>
      </c>
      <c r="E901" s="9" t="s">
        <v>541</v>
      </c>
      <c r="F901" s="10" t="s">
        <v>541</v>
      </c>
      <c r="G901" s="6"/>
      <c r="H901" s="5" t="s">
        <v>1328</v>
      </c>
    </row>
    <row r="902" spans="1:8" ht="15.75" x14ac:dyDescent="0.25">
      <c r="A902" s="4">
        <v>63013933</v>
      </c>
      <c r="B902" s="4">
        <v>750042040066</v>
      </c>
      <c r="C902" s="5" t="s">
        <v>2043</v>
      </c>
      <c r="D902" s="6" t="s">
        <v>11</v>
      </c>
      <c r="E902" s="5" t="s">
        <v>436</v>
      </c>
      <c r="F902" s="6" t="s">
        <v>155</v>
      </c>
      <c r="G902" s="6"/>
      <c r="H902" s="5" t="s">
        <v>1257</v>
      </c>
    </row>
    <row r="903" spans="1:8" ht="15.75" x14ac:dyDescent="0.25">
      <c r="A903" s="4">
        <v>63001300</v>
      </c>
      <c r="B903" s="4">
        <v>803363001354</v>
      </c>
      <c r="C903" s="5" t="s">
        <v>135</v>
      </c>
      <c r="D903" s="6" t="s">
        <v>12</v>
      </c>
      <c r="E903" s="5" t="s">
        <v>251</v>
      </c>
      <c r="F903" s="6" t="s">
        <v>155</v>
      </c>
      <c r="G903" s="6"/>
      <c r="H903" s="5" t="s">
        <v>1329</v>
      </c>
    </row>
    <row r="904" spans="1:8" ht="15.75" x14ac:dyDescent="0.25">
      <c r="A904" s="4">
        <v>63001318</v>
      </c>
      <c r="B904" s="4">
        <v>833573000448</v>
      </c>
      <c r="C904" s="5" t="s">
        <v>2044</v>
      </c>
      <c r="D904" s="6" t="s">
        <v>12</v>
      </c>
      <c r="E904" s="9" t="s">
        <v>541</v>
      </c>
      <c r="F904" s="10" t="s">
        <v>541</v>
      </c>
      <c r="G904" s="6"/>
      <c r="H904" s="5" t="s">
        <v>1258</v>
      </c>
    </row>
    <row r="905" spans="1:8" ht="15.75" x14ac:dyDescent="0.25">
      <c r="A905" s="4">
        <v>63001325</v>
      </c>
      <c r="B905" s="4">
        <v>791051006150</v>
      </c>
      <c r="C905" s="5" t="s">
        <v>136</v>
      </c>
      <c r="D905" s="6" t="s">
        <v>12</v>
      </c>
      <c r="E905" s="9" t="s">
        <v>541</v>
      </c>
      <c r="F905" s="10" t="s">
        <v>541</v>
      </c>
      <c r="G905" s="6"/>
      <c r="H905" s="5" t="s">
        <v>1330</v>
      </c>
    </row>
    <row r="906" spans="1:8" ht="15.75" x14ac:dyDescent="0.25">
      <c r="A906" s="4">
        <v>63001352</v>
      </c>
      <c r="B906" s="4">
        <v>590020025658</v>
      </c>
      <c r="C906" s="5" t="s">
        <v>2045</v>
      </c>
      <c r="D906" s="6" t="s">
        <v>12</v>
      </c>
      <c r="E906" s="9" t="s">
        <v>541</v>
      </c>
      <c r="F906" s="10" t="s">
        <v>541</v>
      </c>
      <c r="G906" s="6"/>
      <c r="H906" s="5" t="s">
        <v>1259</v>
      </c>
    </row>
    <row r="907" spans="1:8" ht="15.75" x14ac:dyDescent="0.25">
      <c r="A907" s="4">
        <v>63001645</v>
      </c>
      <c r="B907" s="4">
        <v>921636004051</v>
      </c>
      <c r="C907" s="5" t="s">
        <v>2145</v>
      </c>
      <c r="D907" s="6" t="s">
        <v>12</v>
      </c>
      <c r="E907" s="5" t="s">
        <v>326</v>
      </c>
      <c r="F907" s="6" t="s">
        <v>161</v>
      </c>
      <c r="G907" s="6"/>
      <c r="H907" s="5" t="s">
        <v>628</v>
      </c>
    </row>
    <row r="908" spans="1:8" ht="15.75" x14ac:dyDescent="0.25">
      <c r="A908" s="4">
        <v>63001767</v>
      </c>
      <c r="B908" s="4">
        <v>620219004856</v>
      </c>
      <c r="C908" s="5" t="s">
        <v>2046</v>
      </c>
      <c r="D908" s="6" t="s">
        <v>12</v>
      </c>
      <c r="E908" s="9" t="s">
        <v>541</v>
      </c>
      <c r="F908" s="10" t="s">
        <v>541</v>
      </c>
      <c r="G908" s="6"/>
      <c r="H908" s="5" t="s">
        <v>1260</v>
      </c>
    </row>
    <row r="909" spans="1:8" ht="15.75" x14ac:dyDescent="0.25">
      <c r="A909" s="4">
        <v>63001840</v>
      </c>
      <c r="B909" s="4">
        <v>710902002663</v>
      </c>
      <c r="C909" s="5" t="s">
        <v>2047</v>
      </c>
      <c r="D909" s="6" t="s">
        <v>12</v>
      </c>
      <c r="E909" s="9" t="s">
        <v>541</v>
      </c>
      <c r="F909" s="10" t="s">
        <v>541</v>
      </c>
      <c r="G909" s="6"/>
      <c r="H909" s="5" t="s">
        <v>1261</v>
      </c>
    </row>
    <row r="910" spans="1:8" ht="15.75" x14ac:dyDescent="0.25">
      <c r="A910" s="4">
        <v>63001924</v>
      </c>
      <c r="B910" s="4">
        <v>798563000139</v>
      </c>
      <c r="C910" s="5" t="s">
        <v>2048</v>
      </c>
      <c r="D910" s="6" t="s">
        <v>12</v>
      </c>
      <c r="E910" s="9" t="s">
        <v>541</v>
      </c>
      <c r="F910" s="10" t="s">
        <v>541</v>
      </c>
      <c r="G910" s="6"/>
      <c r="H910" s="5" t="s">
        <v>1262</v>
      </c>
    </row>
    <row r="911" spans="1:8" ht="15.75" x14ac:dyDescent="0.25">
      <c r="A911" s="4">
        <v>63004744</v>
      </c>
      <c r="B911" s="4">
        <v>653016000662</v>
      </c>
      <c r="C911" s="5" t="s">
        <v>2049</v>
      </c>
      <c r="D911" s="6" t="s">
        <v>12</v>
      </c>
      <c r="E911" s="9" t="s">
        <v>541</v>
      </c>
      <c r="F911" s="10" t="s">
        <v>541</v>
      </c>
      <c r="G911" s="6"/>
      <c r="H911" s="5" t="s">
        <v>1263</v>
      </c>
    </row>
    <row r="912" spans="1:8" ht="15.75" x14ac:dyDescent="0.25">
      <c r="A912" s="4">
        <v>63004962</v>
      </c>
      <c r="B912" s="4">
        <v>763176002048</v>
      </c>
      <c r="C912" s="5" t="s">
        <v>2050</v>
      </c>
      <c r="D912" s="6" t="s">
        <v>12</v>
      </c>
      <c r="E912" s="5" t="s">
        <v>529</v>
      </c>
      <c r="F912" s="6" t="s">
        <v>161</v>
      </c>
      <c r="G912" s="6"/>
      <c r="H912" s="5" t="s">
        <v>1264</v>
      </c>
    </row>
    <row r="913" spans="1:8" ht="15.75" x14ac:dyDescent="0.25">
      <c r="A913" s="4">
        <v>63008446</v>
      </c>
      <c r="B913" s="4">
        <v>700489005442</v>
      </c>
      <c r="C913" s="5" t="s">
        <v>2051</v>
      </c>
      <c r="D913" s="6" t="s">
        <v>12</v>
      </c>
      <c r="E913" s="9" t="s">
        <v>541</v>
      </c>
      <c r="F913" s="10" t="s">
        <v>541</v>
      </c>
      <c r="G913" s="6"/>
      <c r="H913" s="5" t="s">
        <v>1265</v>
      </c>
    </row>
    <row r="914" spans="1:8" ht="15.75" x14ac:dyDescent="0.25">
      <c r="A914" s="4">
        <v>63011044</v>
      </c>
      <c r="B914" s="4">
        <v>782831001452</v>
      </c>
      <c r="C914" s="5" t="s">
        <v>137</v>
      </c>
      <c r="D914" s="6" t="s">
        <v>12</v>
      </c>
      <c r="E914" s="9" t="s">
        <v>541</v>
      </c>
      <c r="F914" s="10" t="s">
        <v>541</v>
      </c>
      <c r="G914" s="6"/>
      <c r="H914" s="5" t="s">
        <v>1331</v>
      </c>
    </row>
  </sheetData>
  <pageMargins left="0.75" right="0.75" top="1" bottom="1" header="0.5" footer="0.5"/>
  <pageSetup paperSize="9" orientation="portrait" horizontalDpi="4294967293" verticalDpi="4294967293" r:id="rId1"/>
  <headerFooter alignWithMargins="0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Interface</vt:lpstr>
      <vt:lpstr>GLOBAL</vt:lpstr>
      <vt:lpstr>Instance</vt:lpstr>
      <vt:lpstr>Indemnisé</vt:lpstr>
      <vt:lpstr>Absence Controle</vt:lpstr>
      <vt:lpstr>NIM</vt:lpstr>
      <vt:lpstr>Employee Data</vt:lpstr>
      <vt:lpstr>DEPARTEMENT</vt:lpstr>
      <vt:lpstr>ECHELLE</vt:lpstr>
      <vt:lpstr>MATRICULE_SAP</vt:lpstr>
      <vt:lpstr>N_SS</vt:lpstr>
      <vt:lpstr>NOM_PRENOM</vt:lpstr>
      <vt:lpstr>NOM_PRENOM_2</vt:lpstr>
      <vt:lpstr>NOM_PRENOM_S</vt:lpstr>
      <vt:lpstr>Paper</vt:lpstr>
      <vt:lpstr>POSTE</vt:lpstr>
      <vt:lpstr>POSTE_S</vt:lpstr>
      <vt:lpstr>STATUT_SALARIES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ilyas</dc:creator>
  <cp:lastModifiedBy>BRAHIM Abdellah Ilyes</cp:lastModifiedBy>
  <cp:lastPrinted>2026-07-12T09:05:24Z</cp:lastPrinted>
  <dcterms:created xsi:type="dcterms:W3CDTF">2015-06-05T18:17:20Z</dcterms:created>
  <dcterms:modified xsi:type="dcterms:W3CDTF">2026-07-13T12:11:54Z</dcterms:modified>
</cp:coreProperties>
</file>